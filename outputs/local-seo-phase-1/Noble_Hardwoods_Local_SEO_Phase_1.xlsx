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9c3fb5b5c545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6299ae9b1c4a85"/>
    <x:sheet xmlns:r="http://schemas.openxmlformats.org/officeDocument/2006/relationships" name="Location Matrix" sheetId="2" r:id="Rd30a823d38c84f37"/>
    <x:sheet xmlns:r="http://schemas.openxmlformats.org/officeDocument/2006/relationships" name="Evidence Inventory" sheetId="3" r:id="R917585726bd14947"/>
    <x:sheet xmlns:r="http://schemas.openxmlformats.org/officeDocument/2006/relationships" name="Data Requests" sheetId="4" r:id="Rbdd6498a23fa493d"/>
    <x:sheet xmlns:r="http://schemas.openxmlformats.org/officeDocument/2006/relationships" name="Source Notes" sheetId="5" r:id="R25745759ed9e42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17">
    <x:font>
      <x:sz val="11"/>
      <x:name val="Carlito"/>
    </x:font>
    <x:font>
      <x:b/>
      <x:sz val="20"/>
      <x:color rgb="FFFFFFFF"/>
      <x:name val="Carlito"/>
    </x:font>
    <x:font>
      <x:i/>
      <x:sz val="10"/>
      <x:color rgb="FF5F5A54"/>
      <x:name val="Carlito"/>
    </x:font>
    <x:font>
      <x:b/>
      <x:sz val="11"/>
      <x:color rgb="FFFFFFFF"/>
      <x:name val="Carlito"/>
    </x:font>
    <x:font>
      <x:sz val="11"/>
      <x:color rgb="FF171513"/>
      <x:name val="Carlito"/>
    </x:font>
    <x:font>
      <x:b/>
      <x:sz val="14"/>
      <x:color rgb="FFA23B22"/>
      <x:name val="Carlito"/>
    </x:font>
    <x:font>
      <x:sz val="10"/>
      <x:color rgb="FF171513"/>
      <x:name val="Carlito"/>
    </x:font>
    <x:font>
      <x:b/>
      <x:sz val="20"/>
      <x:color rgb="FFFFFFFF"/>
      <x:name val="Arial"/>
    </x:font>
    <x:font>
      <x:i/>
      <x:sz val="10"/>
      <x:color rgb="FF5F5A54"/>
      <x:name val="Arial"/>
    </x:font>
    <x:font>
      <x:sz val="11"/>
      <x:name val="Arial"/>
    </x:font>
    <x:font>
      <x:b/>
      <x:sz val="11"/>
      <x:color rgb="FFFFFFFF"/>
      <x:name val="Arial"/>
    </x:font>
    <x:font>
      <x:sz val="11"/>
      <x:color rgb="FF171513"/>
      <x:name val="Arial"/>
    </x:font>
    <x:font>
      <x:b/>
      <x:sz val="14"/>
      <x:color rgb="FFA23B22"/>
      <x:name val="Arial"/>
    </x:font>
    <x:font>
      <x:sz val="10"/>
      <x:color rgb="FF171513"/>
      <x:name val="Arial"/>
    </x:font>
    <x:font>
      <x:b/>
      <x:sz val="10"/>
      <x:color rgb="FFFFFFFF"/>
      <x:name val="Arial"/>
    </x:font>
    <x:font>
      <x:sz val="9"/>
      <x:color rgb="FF171513"/>
      <x:name val="Arial"/>
    </x:font>
    <x:font>
      <x:sz val="9"/>
      <x:color rgb="FFA23B2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1513"/>
      </x:patternFill>
    </x:fill>
    <x:fill>
      <x:patternFill patternType="solid">
        <x:fgColor rgb="FFF3EEE7"/>
      </x:patternFill>
    </x:fill>
    <x:fill>
      <x:patternFill patternType="solid">
        <x:fgColor rgb="FFEF5F3D"/>
      </x:patternFill>
    </x:fill>
    <x:fill>
      <x:patternFill patternType="solid">
        <x:fgColor rgb="FFFFFDF8"/>
      </x:patternFill>
    </x:fill>
  </x:fills>
  <x:borders count="9">
    <x:border/>
    <x:border>
      <x:left style="thin">
        <x:color rgb="FFE6D5C3"/>
      </x:left>
      <x:top style="thin">
        <x:color rgb="FFE6D5C3"/>
      </x:top>
    </x:border>
    <x:border>
      <x:right style="thin">
        <x:color rgb="FFE6D5C3"/>
      </x:right>
      <x:top style="thin">
        <x:color rgb="FFE6D5C3"/>
      </x:top>
    </x:border>
    <x:border>
      <x:left style="thin">
        <x:color rgb="FFE6D5C3"/>
      </x:left>
    </x:border>
    <x:border>
      <x:right style="thin">
        <x:color rgb="FFE6D5C3"/>
      </x:right>
    </x:border>
    <x:border>
      <x:left style="thin">
        <x:color rgb="FFE6D5C3"/>
      </x:left>
      <x:bottom style="thin">
        <x:color rgb="FFE6D5C3"/>
      </x:bottom>
    </x:border>
    <x:border>
      <x:right style="thin">
        <x:color rgb="FFE6D5C3"/>
      </x:right>
      <x:bottom style="thin">
        <x:color rgb="FFE6D5C3"/>
      </x:bottom>
    </x:border>
    <x:border>
      <x:top style="thin">
        <x:color rgb="FFE6D5C3"/>
      </x:top>
    </x:border>
    <x:border>
      <x:bottom style="thin">
        <x:color rgb="FFE6D5C3"/>
      </x:bottom>
    </x:border>
  </x:borders>
  <x:cellStyleXfs count="1">
    <x:xf numFmtId="0" fontId="0" fillId="0" borderId="0"/>
  </x:cellStyleXfs>
  <x:cellXfs count="9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200" fontId="5" fillId="3" borderId="0" xfId="0" applyNumberFormat="1" applyFont="1" applyFill="1" applyBorder="1" applyAlignment="1">
      <x:alignment horizontal="right"/>
    </x:xf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4" fillId="5" borderId="3" xfId="0" applyNumberFormat="1" applyFont="1" applyFill="1" applyBorder="1"/>
    <x:xf numFmtId="200" fontId="5" fillId="3" borderId="4" xfId="0" applyNumberFormat="1" applyFont="1" applyFill="1" applyBorder="1" applyAlignment="1">
      <x:alignment horizontal="right"/>
    </x:xf>
    <x:xf numFmtId="0" fontId="4" fillId="5" borderId="5" xfId="0" applyNumberFormat="1" applyFont="1" applyFill="1" applyBorder="1"/>
    <x:xf numFmtId="200" fontId="5" fillId="3" borderId="6" xfId="0" applyNumberFormat="1" applyFont="1" applyFill="1" applyBorder="1" applyAlignment="1">
      <x:alignment horizontal="right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/>
    <x:xf numFmtId="0" fontId="6" fillId="5" borderId="3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6" fillId="5" borderId="8" xfId="0" applyNumberFormat="1" applyFont="1" applyFill="1" applyBorder="1" applyAlignment="1">
      <x:alignment vertical="top" wrapText="1"/>
    </x:xf>
    <x:xf numFmtId="0" fontId="6" fillId="5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200" fontId="4" fillId="5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7" xfId="0" applyNumberFormat="1" applyFont="1" applyFill="1" applyBorder="1"/>
    <x:xf numFmtId="0" fontId="3" fillId="2" borderId="2" xfId="0" applyNumberFormat="1" applyFont="1" applyFill="1" applyBorder="1"/>
    <x:xf numFmtId="0" fontId="4" fillId="5" borderId="4" xfId="0" applyNumberFormat="1" applyFont="1" applyFill="1" applyBorder="1"/>
    <x:xf numFmtId="200" fontId="4" fillId="5" borderId="8" xfId="0" applyNumberFormat="1" applyFont="1" applyFill="1" applyBorder="1"/>
    <x:xf numFmtId="0" fontId="4" fillId="5" borderId="6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8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10" fillId="4" borderId="1" xfId="0" applyNumberFormat="1" applyFont="1" applyFill="1" applyBorder="1"/>
    <x:xf numFmtId="0" fontId="10" fillId="4" borderId="2" xfId="0" applyNumberFormat="1" applyFont="1" applyFill="1" applyBorder="1"/>
    <x:xf numFmtId="0" fontId="10" fillId="4" borderId="7" xfId="0" applyNumberFormat="1" applyFont="1" applyFill="1" applyBorder="1"/>
    <x:xf numFmtId="0" fontId="11" fillId="5" borderId="3" xfId="0" applyNumberFormat="1" applyFont="1" applyFill="1" applyBorder="1"/>
    <x:xf numFmtId="200" fontId="12" fillId="3" borderId="4" xfId="0" applyNumberFormat="1" applyFont="1" applyFill="1" applyBorder="1" applyAlignment="1">
      <x:alignment horizontal="right"/>
    </x:xf>
    <x:xf numFmtId="0" fontId="13" fillId="5" borderId="3" xfId="0" applyNumberFormat="1" applyFont="1" applyFill="1" applyBorder="1" applyAlignment="1">
      <x:alignment vertical="top" wrapText="1"/>
    </x:xf>
    <x:xf numFmtId="0" fontId="13" fillId="5" borderId="0" xfId="0" applyNumberFormat="1" applyFont="1" applyFill="1" applyBorder="1" applyAlignment="1">
      <x:alignment vertical="top" wrapText="1"/>
    </x:xf>
    <x:xf numFmtId="0" fontId="13" fillId="5" borderId="4" xfId="0" applyNumberFormat="1" applyFont="1" applyFill="1" applyBorder="1" applyAlignment="1">
      <x:alignment vertical="top" wrapText="1"/>
    </x:xf>
    <x:xf numFmtId="0" fontId="13" fillId="5" borderId="5" xfId="0" applyNumberFormat="1" applyFont="1" applyFill="1" applyBorder="1" applyAlignment="1">
      <x:alignment vertical="top" wrapText="1"/>
    </x:xf>
    <x:xf numFmtId="0" fontId="13" fillId="5" borderId="8" xfId="0" applyNumberFormat="1" applyFont="1" applyFill="1" applyBorder="1" applyAlignment="1">
      <x:alignment vertical="top" wrapText="1"/>
    </x:xf>
    <x:xf numFmtId="0" fontId="13" fillId="5" borderId="6" xfId="0" applyNumberFormat="1" applyFont="1" applyFill="1" applyBorder="1" applyAlignment="1">
      <x:alignment vertical="top" wrapText="1"/>
    </x:xf>
    <x:xf numFmtId="0" fontId="11" fillId="5" borderId="5" xfId="0" applyNumberFormat="1" applyFont="1" applyFill="1" applyBorder="1"/>
    <x:xf numFmtId="200" fontId="12" fillId="3" borderId="6" xfId="0" applyNumberFormat="1" applyFont="1" applyFill="1" applyBorder="1" applyAlignment="1">
      <x:alignment horizontal="right"/>
    </x:xf>
    <x:xf numFmtId="0" fontId="10" fillId="2" borderId="1" xfId="0" applyNumberFormat="1" applyFont="1" applyFill="1" applyBorder="1"/>
    <x:xf numFmtId="0" fontId="10" fillId="2" borderId="7" xfId="0" applyNumberFormat="1" applyFont="1" applyFill="1" applyBorder="1"/>
    <x:xf numFmtId="0" fontId="10" fillId="2" borderId="2" xfId="0" applyNumberFormat="1" applyFont="1" applyFill="1" applyBorder="1"/>
    <x:xf numFmtId="200" fontId="11" fillId="5" borderId="0" xfId="0" applyNumberFormat="1" applyFont="1" applyFill="1" applyBorder="1"/>
    <x:xf numFmtId="0" fontId="11" fillId="5" borderId="4" xfId="0" applyNumberFormat="1" applyFont="1" applyFill="1" applyBorder="1"/>
    <x:xf numFmtId="200" fontId="11" fillId="5" borderId="8" xfId="0" applyNumberFormat="1" applyFont="1" applyFill="1" applyBorder="1"/>
    <x:xf numFmtId="0" fontId="11" fillId="5" borderId="6" xfId="0" applyNumberFormat="1" applyFont="1" applyFill="1" applyBorder="1"/>
    <x:xf numFmtId="0" fontId="11" fillId="3" borderId="3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 applyAlignment="1">
      <x:alignment vertical="center" wrapText="1"/>
    </x:xf>
    <x:xf numFmtId="0" fontId="11" fillId="3" borderId="4" xfId="0" applyNumberFormat="1" applyFont="1" applyFill="1" applyBorder="1" applyAlignment="1">
      <x:alignment vertical="center" wrapText="1"/>
    </x:xf>
    <x:xf numFmtId="0" fontId="11" fillId="3" borderId="5" xfId="0" applyNumberFormat="1" applyFont="1" applyFill="1" applyBorder="1" applyAlignment="1">
      <x:alignment vertical="center" wrapText="1"/>
    </x:xf>
    <x:xf numFmtId="0" fontId="11" fillId="3" borderId="8" xfId="0" applyNumberFormat="1" applyFont="1" applyFill="1" applyBorder="1" applyAlignment="1">
      <x:alignment vertical="center" wrapText="1"/>
    </x:xf>
    <x:xf numFmtId="0" fontId="11" fillId="3" borderId="6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9" fillId="0" borderId="0" xfId="0" applyNumberFormat="1" applyFont="1" applyFill="1" applyBorder="1"/>
    <x:xf numFmtId="201" fontId="9" fillId="0" borderId="0" xfId="0" applyNumberFormat="1" applyFont="1" applyFill="1" applyBorder="1"/>
    <x:xf numFmtId="0" fontId="9" fillId="2" borderId="0" xfId="0" applyNumberFormat="1" applyFont="1" applyFill="1" applyBorder="1"/>
    <x:xf numFmtId="0" fontId="14" fillId="2" borderId="0" xfId="0" applyNumberFormat="1" applyFont="1" applyFill="1" applyBorder="1"/>
    <x:xf numFmtId="0" fontId="14" fillId="2" borderId="0" xfId="0" applyNumberFormat="1" applyFont="1" applyFill="1" applyBorder="1" applyAlignment="1">
      <x:alignment wrapText="1"/>
    </x:xf>
    <x:xf numFmtId="0" fontId="14" fillId="2" borderId="0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/>
    <x:xf numFmtId="200" fontId="15" fillId="0" borderId="0" xfId="0" applyNumberFormat="1" applyFont="1" applyFill="1" applyBorder="1"/>
    <x:xf numFmtId="201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vertical="top"/>
    </x:xf>
    <x:xf numFmtId="200" fontId="15" fillId="0" borderId="0" xfId="0" applyNumberFormat="1" applyFont="1" applyFill="1" applyBorder="1" applyAlignment="1">
      <x:alignment vertical="top"/>
    </x:xf>
    <x:xf numFmtId="201" fontId="15" fillId="0" borderId="0" xfId="0" applyNumberFormat="1" applyFont="1" applyFill="1" applyBorder="1" applyAlignment="1">
      <x:alignment vertical="top"/>
    </x:xf>
    <x:xf numFmtId="0" fontId="16" fillId="0" borderId="0" xfId="0" applyNumberFormat="1" applyFont="1" applyFill="1" applyBorder="1" applyAlignment="1">
      <x:alignment vertical="top"/>
    </x:xf>
    <x:xf numFmtId="0" fontId="15" fillId="0" borderId="0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315B39"/>
      </x:font>
      <x:fill>
        <x:patternFill patternType="solid">
          <x:bgColor rgb="FFDCE9DE"/>
        </x:patternFill>
      </x:fill>
    </x:dxf>
    <x:dxf>
      <x:font>
        <x:b/>
        <x:color rgb="FF79551D"/>
      </x:font>
      <x:fill>
        <x:patternFill patternType="solid">
          <x:bgColor rgb="FFF8E8C6"/>
        </x:patternFill>
      </x:fill>
    </x:dxf>
    <x:dxf>
      <x:font>
        <x:b/>
        <x:color rgb="FF5F5A54"/>
      </x:font>
      <x:fill>
        <x:patternFill patternType="solid">
          <x:bgColor rgb="FFE8E5E0"/>
        </x:patternFill>
      </x:fill>
    </x:dxf>
    <x:dxf>
      <x:font>
        <x:b/>
        <x:color rgb="FFA23B22"/>
      </x:font>
      <x:fill>
        <x:patternFill patternType="solid">
          <x:bgColor rgb="FFE6D5C3"/>
        </x:patternFill>
      </x:fill>
    </x:dxf>
    <x:dxf>
      <x:font>
        <x:b/>
        <x:color rgb="FF842A1E"/>
      </x:font>
      <x:fill>
        <x:patternFill patternType="solid">
          <x:bgColor rgb="FFF5D2CC"/>
        </x:patternFill>
      </x:fill>
    </x:dxf>
    <x:dxf>
      <x:font>
        <x:b/>
        <x:color rgb="FF79551D"/>
      </x:font>
      <x:fill>
        <x:patternFill patternType="solid">
          <x:bgColor rgb="FFF8E8C6"/>
        </x:patternFill>
      </x:fill>
    </x:dxf>
    <x:dxf>
      <x:font>
        <x:b/>
        <x:color rgb="FF315B39"/>
      </x:font>
      <x:fill>
        <x:patternFill patternType="solid">
          <x:bgColor rgb="FFDCE9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e35716cf4341e7" /><Relationship Type="http://schemas.openxmlformats.org/officeDocument/2006/relationships/theme" Target="/xl/theme/theme1.xml" Id="R8f2ca549c43e48cc" /><Relationship Type="http://schemas.openxmlformats.org/officeDocument/2006/relationships/sharedStrings" Target="/xl/sharedStrings.xml" Id="R44856ba8c67a4acc" /><Relationship Type="http://schemas.openxmlformats.org/officeDocument/2006/relationships/worksheet" Target="/xl/worksheets/sheet1.xml" Id="R7f6299ae9b1c4a85" /><Relationship Type="http://schemas.openxmlformats.org/officeDocument/2006/relationships/worksheet" Target="/xl/worksheets/sheet2.xml" Id="Rd30a823d38c84f37" /><Relationship Type="http://schemas.openxmlformats.org/officeDocument/2006/relationships/worksheet" Target="/xl/worksheets/sheet3.xml" Id="R917585726bd14947" /><Relationship Type="http://schemas.openxmlformats.org/officeDocument/2006/relationships/worksheet" Target="/xl/worksheets/sheet4.xml" Id="Rbdd6498a23fa493d" /><Relationship Type="http://schemas.openxmlformats.org/officeDocument/2006/relationships/worksheet" Target="/xl/worksheets/sheet5.xml" Id="R25745759ed9e42bc" /><Relationship Type="http://schemas.microsoft.com/office/2017/10/relationships/person" Target="/xl/persons/person.xml" Id="R291f73aa18f74632" /></Relationships>
</file>

<file path=xl/persons/person.xml><?xml version="1.0" encoding="utf-8"?>
<xltc:personList xmlns:xltc="http://schemas.microsoft.com/office/spreadsheetml/2018/threadedcomments">
  <xltc:person displayName="User" id="{0D579440-1AE0-4CFB-9F5D-0CBB456BB46A}"/>
</xltc:personList>
</file>

<file path=xl/tables/table1.xml><?xml version="1.0" encoding="utf-8"?>
<x:table xmlns:x="http://schemas.openxmlformats.org/spreadsheetml/2006/main" id="1" name="LocationPriorityTable" displayName="LocationPriorityTable" ref="A4:N35" headerRowCount="1" totalsRowCount="0" totalsRowShown="0">
  <x:autoFilter ref="A4:N35"/>
  <x:tableColumns count="14">
    <x:tableColumn id="1" name="Location"/>
    <x:tableColumn id="2" name="State"/>
    <x:tableColumn id="3" name="Current page URL"/>
    <x:tableColumn id="4" name="Project count"/>
    <x:tableColumn id="5" name="Share of known"/>
    <x:tableColumn id="6" name="Tier"/>
    <x:tableColumn id="7" name="Case study URL"/>
    <x:tableColumn id="8" name="Photo evidence"/>
    <x:tableColumn id="9" name="City review"/>
    <x:tableColumn id="10" name="Evidence grade"/>
    <x:tableColumn id="11" name="Publishing recommendation"/>
    <x:tableColumn id="12" name="SEO / business basis"/>
    <x:tableColumn id="13" name="Required next evidence"/>
    <x:tableColumn id="1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eInventoryTable" displayName="EvidenceInventoryTable" ref="A4:H16" headerRowCount="1" totalsRowCount="0" totalsRowShown="0">
  <x:tableColumns count="8">
    <x:tableColumn id="1" name="Evidence type"/>
    <x:tableColumn id="2" name="Item"/>
    <x:tableColumn id="3" name="Location / scope"/>
    <x:tableColumn id="4" name="Status"/>
    <x:tableColumn id="5" name="Source"/>
    <x:tableColumn id="6" name="Verified information"/>
    <x:tableColumn id="7" name="Missing confirmation"/>
    <x:tableColumn id="8" name="Recommended u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idenceRequestsTable" displayName="EvidenceRequestsTable" ref="A4:G14" headerRowCount="1" totalsRowCount="0" totalsRowShown="0">
  <x:tableColumns count="7">
    <x:tableColumn id="1" name="Priority"/>
    <x:tableColumn id="2" name="Request"/>
    <x:tableColumn id="3" name="Why needed"/>
    <x:tableColumn id="4" name="Required fields / confirmation"/>
    <x:tableColumn id="5" name="Suggested owner"/>
    <x:tableColumn id="6" name="Blocks"/>
    <x:tableColumn id="7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NotesTable" displayName="SourceNotesTable" ref="A4:D12" headerRowCount="1" totalsRowCount="0" totalsRowShown="0">
  <x:tableColumns count="4">
    <x:tableColumn id="1" name="Source"/>
    <x:tableColumn id="2" name="Path or URL"/>
    <x:tableColumn id="3" name="Date / version"/>
    <x:tableColumn id="4" name="Use in this aud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71c2944c2541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39c694843c4b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f695fb689048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0a958b76a345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14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4" customHeight="1">
      <x:c r="A1" s="46" t="str">
        <x:v>Noble Hardwoods — Local SEO Phase 1</x:v>
      </x:c>
      <x:c r="B1" s="46"/>
      <x:c r="C1" s="46"/>
      <x:c r="D1" s="46"/>
      <x:c r="E1" s="46"/>
      <x:c r="F1" s="46"/>
    </x:row>
    <x:row r="2" ht="32" customHeight="1">
      <x:c r="A2" s="47" t="str">
        <x:v>Evidence and publishing audit | Source data through August 4, 2026</x:v>
      </x:c>
      <x:c r="B2" s="47"/>
      <x:c r="C2" s="47"/>
      <x:c r="D2" s="47"/>
      <x:c r="E2" s="47"/>
      <x:c r="F2" s="47"/>
    </x:row>
    <x:row r="3">
      <x:c r="A3" s="48"/>
      <x:c r="B3" s="48"/>
      <x:c r="C3" s="48"/>
      <x:c r="D3" s="48"/>
      <x:c r="E3" s="48"/>
      <x:c r="F3" s="48"/>
    </x:row>
    <x:row r="4">
      <x:c r="A4" s="49" t="str">
        <x:v>Phase 1 scorecard</x:v>
      </x:c>
      <x:c r="B4" s="50" t="str">
        <x:v>Value</x:v>
      </x:c>
      <x:c r="C4" s="48"/>
      <x:c r="D4" s="49" t="str">
        <x:v>Decision summary</x:v>
      </x:c>
      <x:c r="E4" s="51"/>
      <x:c r="F4" s="50"/>
    </x:row>
    <x:row r="5" ht="38" customHeight="1">
      <x:c r="A5" s="52" t="str">
        <x:v>Current location URLs</x:v>
      </x:c>
      <x:c r="B5" s="53" t="n">
        <x:f>COUNT('Location Matrix'!$D$5:$D$35)</x:f>
        <x:v>27</x:v>
      </x:c>
      <x:c r="C5" s="48"/>
      <x:c r="D5" s="54" t="str">
        <x:v>Tier 1: Enrich and index first. These markets combine demand, volume, or existing proof.</x:v>
      </x:c>
      <x:c r="E5" s="55"/>
      <x:c r="F5" s="56"/>
    </x:row>
    <x:row r="6" ht="38" customHeight="1">
      <x:c r="A6" s="52" t="str">
        <x:v>Located completed-project records</x:v>
      </x:c>
      <x:c r="B6" s="53" t="n">
        <x:f>SUM('Location Matrix'!$D$5:$D$35)</x:f>
        <x:v>315</x:v>
      </x:c>
      <x:c r="C6" s="48"/>
      <x:c r="D6" s="54" t="str">
        <x:v>Tier 2: Add at least one attributable local proof asset before relying on the page for rankings.</x:v>
      </x:c>
      <x:c r="E6" s="55"/>
      <x:c r="F6" s="56"/>
    </x:row>
    <x:row r="7" ht="38" customHeight="1">
      <x:c r="A7" s="52" t="str">
        <x:v>Tier 1 markets</x:v>
      </x:c>
      <x:c r="B7" s="53" t="n">
        <x:f>COUNTIF('Location Matrix'!$F$5:$F$35,"Tier 1")</x:f>
        <x:v>8</x:v>
      </x:c>
      <x:c r="C7" s="48"/>
      <x:c r="D7" s="54" t="str">
        <x:v>Tier 3: Hold or consolidate until a real project, photo set, and useful local insight are available.</x:v>
      </x:c>
      <x:c r="E7" s="55"/>
      <x:c r="F7" s="56"/>
    </x:row>
    <x:row r="8" ht="38" customHeight="1">
      <x:c r="A8" s="52" t="str">
        <x:v>Current city case studies</x:v>
      </x:c>
      <x:c r="B8" s="53" t="n">
        <x:f>COUNTIF('Location Matrix'!$J$5:$J$31,"B")</x:f>
        <x:v>3</x:v>
      </x:c>
      <x:c r="C8" s="48"/>
      <x:c r="D8" s="54" t="str">
        <x:v>Strategic gaps: Briarcliff is viable after confirmation; Mission Hills, Brookside, and Waldo need evidence.</x:v>
      </x:c>
      <x:c r="E8" s="55"/>
      <x:c r="F8" s="56"/>
    </x:row>
    <x:row r="9" ht="38" customHeight="1">
      <x:c r="A9" s="52" t="str">
        <x:v>City-verified reviews</x:v>
      </x:c>
      <x:c r="B9" s="53" t="n">
        <x:f>COUNTIF('Location Matrix'!$I$5:$I$35,"Verified")</x:f>
        <x:v>0</x:v>
      </x:c>
      <x:c r="C9" s="48"/>
      <x:c r="D9" s="57" t="str">
        <x:v>Never assign a city to a photo or review without a source-backed mapping.</x:v>
      </x:c>
      <x:c r="E9" s="58"/>
      <x:c r="F9" s="59"/>
    </x:row>
    <x:row r="10">
      <x:c r="A10" s="60" t="str">
        <x:v>Pages recommended for first enrichment wave</x:v>
      </x:c>
      <x:c r="B10" s="61" t="n">
        <x:f>COUNTIF('Location Matrix'!$K$5:$K$35,"Index after enrichment")</x:f>
        <x:v>8</x:v>
      </x:c>
      <x:c r="C10" s="48"/>
      <x:c r="D10" s="48"/>
      <x:c r="E10" s="48"/>
      <x:c r="F10" s="48"/>
    </x:row>
    <x:row r="11">
      <x:c r="A11" s="48"/>
      <x:c r="B11" s="48"/>
      <x:c r="C11" s="48"/>
      <x:c r="D11" s="48"/>
      <x:c r="E11" s="48"/>
      <x:c r="F11" s="48"/>
    </x:row>
    <x:row r="12">
      <x:c r="A12" s="48"/>
      <x:c r="B12" s="48"/>
      <x:c r="C12" s="48"/>
      <x:c r="D12" s="48"/>
      <x:c r="E12" s="48"/>
      <x:c r="F12" s="48"/>
    </x:row>
    <x:row r="13">
      <x:c r="A13" s="62" t="str">
        <x:v>Tier</x:v>
      </x:c>
      <x:c r="B13" s="63" t="str">
        <x:v>Locations</x:v>
      </x:c>
      <x:c r="C13" s="63" t="str">
        <x:v>Known projects</x:v>
      </x:c>
      <x:c r="D13" s="64" t="str">
        <x:v>Publishing stance</x:v>
      </x:c>
      <x:c r="E13" s="48"/>
      <x:c r="F13" s="48"/>
    </x:row>
    <x:row r="14">
      <x:c r="A14" s="52" t="str">
        <x:v>Tier 1</x:v>
      </x:c>
      <x:c r="B14" s="65" t="n">
        <x:f>COUNTIF('Location Matrix'!$F$5:$F$35,A14)</x:f>
        <x:v>8</x:v>
      </x:c>
      <x:c r="C14" s="65" t="n">
        <x:f>SUMIF('Location Matrix'!$F$5:$F$35,A14,'Location Matrix'!$D$5:$D$35)</x:f>
        <x:v>236</x:v>
      </x:c>
      <x:c r="D14" s="66" t="str">
        <x:v>Enrich first</x:v>
      </x:c>
      <x:c r="E14" s="48"/>
      <x:c r="F14" s="48"/>
    </x:row>
    <x:row r="15">
      <x:c r="A15" s="52" t="str">
        <x:v>Tier 2</x:v>
      </x:c>
      <x:c r="B15" s="65" t="n">
        <x:f>COUNTIF('Location Matrix'!$F$5:$F$35,A15)</x:f>
        <x:v>11</x:v>
      </x:c>
      <x:c r="C15" s="65" t="n">
        <x:f>SUMIF('Location Matrix'!$F$5:$F$35,A15,'Location Matrix'!$D$5:$D$35)</x:f>
        <x:v>67</x:v>
      </x:c>
      <x:c r="D15" s="66" t="str">
        <x:v>Proof before promotion</x:v>
      </x:c>
      <x:c r="E15" s="48"/>
      <x:c r="F15" s="48"/>
    </x:row>
    <x:row r="16">
      <x:c r="A16" s="52" t="str">
        <x:v>Tier 3</x:v>
      </x:c>
      <x:c r="B16" s="65" t="n">
        <x:f>COUNTIF('Location Matrix'!$F$5:$F$35,A16)</x:f>
        <x:v>8</x:v>
      </x:c>
      <x:c r="C16" s="65" t="n">
        <x:f>SUMIF('Location Matrix'!$F$5:$F$35,A16,'Location Matrix'!$D$5:$D$35)</x:f>
        <x:v>12</x:v>
      </x:c>
      <x:c r="D16" s="66" t="str">
        <x:v>Hold or consolidate</x:v>
      </x:c>
      <x:c r="E16" s="48"/>
      <x:c r="F16" s="48"/>
    </x:row>
    <x:row r="17">
      <x:c r="A17" s="60" t="str">
        <x:v>Strategic gap</x:v>
      </x:c>
      <x:c r="B17" s="67" t="n">
        <x:f>COUNTIF('Location Matrix'!$F$5:$F$35,A17)</x:f>
        <x:v>4</x:v>
      </x:c>
      <x:c r="C17" s="67" t="n">
        <x:f>SUMIF('Location Matrix'!$F$5:$F$35,A17,'Location Matrix'!$D$5:$D$35)</x:f>
        <x:v>0</x:v>
      </x:c>
      <x:c r="D17" s="68" t="str">
        <x:v>Collect evidence</x:v>
      </x:c>
      <x:c r="E17" s="48"/>
      <x:c r="F17" s="48"/>
    </x:row>
    <x:row r="18">
      <x:c r="A18" s="48"/>
      <x:c r="B18" s="48"/>
      <x:c r="C18" s="48"/>
      <x:c r="D18" s="48"/>
      <x:c r="E18" s="48"/>
      <x:c r="F18" s="48"/>
    </x:row>
    <x:row r="19">
      <x:c r="A19" s="48"/>
      <x:c r="B19" s="48"/>
      <x:c r="C19" s="48"/>
      <x:c r="D19" s="48"/>
      <x:c r="E19" s="48"/>
      <x:c r="F19" s="48"/>
    </x:row>
    <x:row r="20">
      <x:c r="A20" s="62" t="str">
        <x:v>Phase 1 conclusion</x:v>
      </x:c>
      <x:c r="B20" s="63"/>
      <x:c r="C20" s="63"/>
      <x:c r="D20" s="63"/>
      <x:c r="E20" s="63"/>
      <x:c r="F20" s="64"/>
    </x:row>
    <x:row r="21">
      <x:c r="A21" s="69" t="str">
        <x:v>The technical location cluster is ready for refinement, but the evidence layer is not. Aggregate project volume is credible and valuable; city-specific photos, reviews, and project details are the critical blockers. Phase 2 should build the content model around verified evidence, and Phase 3 should begin with the eight Tier 1 markets.</x:v>
      </x:c>
      <x:c r="B21" s="70"/>
      <x:c r="C21" s="70"/>
      <x:c r="D21" s="70"/>
      <x:c r="E21" s="70"/>
      <x:c r="F21" s="71"/>
    </x:row>
    <x:row r="22">
      <x:c r="A22" s="69"/>
      <x:c r="B22" s="70"/>
      <x:c r="C22" s="70"/>
      <x:c r="D22" s="70"/>
      <x:c r="E22" s="70"/>
      <x:c r="F22" s="71"/>
    </x:row>
    <x:row r="23">
      <x:c r="A23" s="72"/>
      <x:c r="B23" s="73"/>
      <x:c r="C23" s="73"/>
      <x:c r="D23" s="73"/>
      <x:c r="E23" s="73"/>
      <x:c r="F23" s="74"/>
    </x:row>
  </x:sheetData>
  <x:mergeCells>
    <x:mergeCell ref="A1:F1"/>
    <x:mergeCell ref="A2:F2"/>
    <x:mergeCell ref="D4:F4"/>
    <x:mergeCell ref="D5:F5"/>
    <x:mergeCell ref="D6:F6"/>
    <x:mergeCell ref="D7:F7"/>
    <x:mergeCell ref="D8:F8"/>
    <x:mergeCell ref="D9:F9"/>
    <x:mergeCell ref="A20:F20"/>
    <x:mergeCell ref="A21:F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" hidden="0" customWidth="1"/>
    <x:col min="3" max="3" width="38" hidden="0" customWidth="1"/>
    <x:col min="4" max="4" width="13" hidden="0" customWidth="1"/>
    <x:col min="5" max="5" width="13" hidden="0" customWidth="1"/>
    <x:col min="6" max="6" width="14" hidden="0" customWidth="1"/>
    <x:col min="7" max="7" width="46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4" customHeight="1">
      <x:c r="A1" s="3" t="str">
        <x:v>Location Priority Matrix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2" customHeight="1">
      <x:c r="A2" s="7" t="str">
        <x:v>Sortable source of truth for current pages, strategic gaps, evidence strength, and publishing recommendations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82" t="str">
        <x:v>Location</x:v>
      </x:c>
      <x:c r="B4" s="82" t="str">
        <x:v>State</x:v>
      </x:c>
      <x:c r="C4" s="82" t="str">
        <x:v>Current page URL</x:v>
      </x:c>
      <x:c r="D4" s="82" t="str">
        <x:v>Project count</x:v>
      </x:c>
      <x:c r="E4" s="82" t="str">
        <x:v>Share of known</x:v>
      </x:c>
      <x:c r="F4" s="82" t="str">
        <x:v>Tier</x:v>
      </x:c>
      <x:c r="G4" s="82" t="str">
        <x:v>Case study URL</x:v>
      </x:c>
      <x:c r="H4" s="82" t="str">
        <x:v>Photo evidence</x:v>
      </x:c>
      <x:c r="I4" s="82" t="str">
        <x:v>City review</x:v>
      </x:c>
      <x:c r="J4" s="82" t="str">
        <x:v>Evidence grade</x:v>
      </x:c>
      <x:c r="K4" s="82" t="str">
        <x:v>Publishing recommendation</x:v>
      </x:c>
      <x:c r="L4" s="82" t="str">
        <x:v>SEO / business basis</x:v>
      </x:c>
      <x:c r="M4" s="82" t="str">
        <x:v>Required next evidence</x:v>
      </x:c>
      <x:c r="N4" s="82" t="str">
        <x:v>Notes</x:v>
      </x:c>
    </x:row>
    <x:row r="5" ht="48" customHeight="1">
      <x:c r="A5" s="86" t="str">
        <x:v>Kansas City</x:v>
      </x:c>
      <x:c r="B5" s="86" t="str">
        <x:v>MO</x:v>
      </x:c>
      <x:c r="C5" s="89" t="str">
        <x:v>/service-areas/hardwood-flooring-kansas-city-mo</x:v>
      </x:c>
      <x:c r="D5" s="87" t="n">
        <x:v>112</x:v>
      </x:c>
      <x:c r="E5" s="88" t="n">
        <x:f>IF(D5="","",D5/'Summary'!$B$6)</x:f>
        <x:v>0.35555555555555557</x:v>
      </x:c>
      <x:c r="F5" s="86" t="str">
        <x:v>Tier 1</x:v>
      </x:c>
      <x:c r="G5" s="89" t="str"/>
      <x:c r="H5" s="86" t="str">
        <x:v>Unverified</x:v>
      </x:c>
      <x:c r="I5" s="86" t="str">
        <x:v>None</x:v>
      </x:c>
      <x:c r="J5" s="86" t="str">
        <x:f>IF(AND(G5&lt;&gt;"",H5="Verified",I5="Verified"),"A",IF(G5&lt;&gt;"","B",IF(D5&gt;=8,"C","D")))</x:f>
        <x:v>C</x:v>
      </x:c>
      <x:c r="K5" s="86" t="str">
        <x:v>Index after enrichment</x:v>
      </x:c>
      <x:c r="L5" s="90" t="str">
        <x:v>Core Kansas City keyword + highest project volume</x:v>
      </x:c>
      <x:c r="M5" s="90" t="str">
        <x:v>1–2 attributable projects, city-matched review, verified gallery</x:v>
      </x:c>
      <x:c r="N5" s="90" t="str">
        <x:v>Separate from Kansas City, KS in titles, links, and reporting</x:v>
      </x:c>
    </x:row>
    <x:row r="6" ht="48" customHeight="1">
      <x:c r="A6" s="86" t="str">
        <x:v>Overland Park</x:v>
      </x:c>
      <x:c r="B6" s="86" t="str">
        <x:v>KS</x:v>
      </x:c>
      <x:c r="C6" s="89" t="str">
        <x:v>/service-areas/hardwood-flooring-overland-park-ks</x:v>
      </x:c>
      <x:c r="D6" s="87" t="n">
        <x:v>34</x:v>
      </x:c>
      <x:c r="E6" s="88" t="n">
        <x:f>IF(D6="","",D6/'Summary'!$B$6)</x:f>
        <x:v>0.10793650793650794</x:v>
      </x:c>
      <x:c r="F6" s="86" t="str">
        <x:v>Tier 1</x:v>
      </x:c>
      <x:c r="G6" s="89" t="str">
        <x:v>/projects/floor-installation-and-refinishing-in-overland-park-ks</x:v>
      </x:c>
      <x:c r="H6" s="86" t="str">
        <x:v>Provisional</x:v>
      </x:c>
      <x:c r="I6" s="86" t="str">
        <x:v>None</x:v>
      </x:c>
      <x:c r="J6" s="86" t="str">
        <x:f>IF(AND(G6&lt;&gt;"",H6="Verified",I6="Verified"),"A",IF(G6&lt;&gt;"","B",IF(D6&gt;=8,"C","D")))</x:f>
        <x:v>B</x:v>
      </x:c>
      <x:c r="K6" s="86" t="str">
        <x:v>Index after enrichment</x:v>
      </x:c>
      <x:c r="L6" s="90" t="str">
        <x:v>Priority keyword + high volume + existing case study</x:v>
      </x:c>
      <x:c r="M6" s="90" t="str">
        <x:v>Confirm project image provenance; add review and full project details</x:v>
      </x:c>
      <x:c r="N6" s="90" t="str">
        <x:v>Strongest ready-to-enrich suburb page</x:v>
      </x:c>
    </x:row>
    <x:row r="7" ht="48" customHeight="1">
      <x:c r="A7" s="86" t="str">
        <x:v>Lee's Summit</x:v>
      </x:c>
      <x:c r="B7" s="86" t="str">
        <x:v>MO</x:v>
      </x:c>
      <x:c r="C7" s="89" t="str">
        <x:v>/service-areas/hardwood-flooring-lees-summit-mo</x:v>
      </x:c>
      <x:c r="D7" s="87" t="n">
        <x:v>24</x:v>
      </x:c>
      <x:c r="E7" s="88" t="n">
        <x:f>IF(D7="","",D7/'Summary'!$B$6)</x:f>
        <x:v>0.0761904761904762</x:v>
      </x:c>
      <x:c r="F7" s="86" t="str">
        <x:v>Tier 1</x:v>
      </x:c>
      <x:c r="G7" s="89" t="str"/>
      <x:c r="H7" s="86" t="str">
        <x:v>Unverified</x:v>
      </x:c>
      <x:c r="I7" s="86" t="str">
        <x:v>None</x:v>
      </x:c>
      <x:c r="J7" s="86" t="str">
        <x:f>IF(AND(G7&lt;&gt;"",H7="Verified",I7="Verified"),"A",IF(G7&lt;&gt;"","B",IF(D7&gt;=8,"C","D")))</x:f>
        <x:v>C</x:v>
      </x:c>
      <x:c r="K7" s="86" t="str">
        <x:v>Index after enrichment</x:v>
      </x:c>
      <x:c r="L7" s="90" t="str">
        <x:v>Third-highest project volume</x:v>
      </x:c>
      <x:c r="M7" s="90" t="str">
        <x:v>Attributable project, verified photos, city-matched review</x:v>
      </x:c>
      <x:c r="N7" s="90" t="str">
        <x:v>High-volume market absent from the original keyword list</x:v>
      </x:c>
    </x:row>
    <x:row r="8" ht="48" customHeight="1">
      <x:c r="A8" s="86" t="str">
        <x:v>Prairie Village</x:v>
      </x:c>
      <x:c r="B8" s="86" t="str">
        <x:v>KS</x:v>
      </x:c>
      <x:c r="C8" s="89" t="str">
        <x:v>/service-areas/hardwood-flooring-prairie-village-ks</x:v>
      </x:c>
      <x:c r="D8" s="87" t="n">
        <x:v>18</x:v>
      </x:c>
      <x:c r="E8" s="88" t="n">
        <x:f>IF(D8="","",D8/'Summary'!$B$6)</x:f>
        <x:v>0.05714285714285714</x:v>
      </x:c>
      <x:c r="F8" s="86" t="str">
        <x:v>Tier 1</x:v>
      </x:c>
      <x:c r="G8" s="89" t="str"/>
      <x:c r="H8" s="86" t="str">
        <x:v>Unverified</x:v>
      </x:c>
      <x:c r="I8" s="86" t="str">
        <x:v>None</x:v>
      </x:c>
      <x:c r="J8" s="86" t="str">
        <x:f>IF(AND(G8&lt;&gt;"",H8="Verified",I8="Verified"),"A",IF(G8&lt;&gt;"","B",IF(D8&gt;=8,"C","D")))</x:f>
        <x:v>C</x:v>
      </x:c>
      <x:c r="K8" s="86" t="str">
        <x:v>Index after enrichment</x:v>
      </x:c>
      <x:c r="L8" s="90" t="str">
        <x:v>Priority refinishing and installation keywords</x:v>
      </x:c>
      <x:c r="M8" s="90" t="str">
        <x:v>Attributable restoration project, photos, review</x:v>
      </x:c>
      <x:c r="N8" s="90" t="str">
        <x:v>Original SEO-plan priority</x:v>
      </x:c>
    </x:row>
    <x:row r="9" ht="48" customHeight="1">
      <x:c r="A9" s="86" t="str">
        <x:v>Leawood</x:v>
      </x:c>
      <x:c r="B9" s="86" t="str">
        <x:v>KS</x:v>
      </x:c>
      <x:c r="C9" s="89" t="str">
        <x:v>/service-areas/hardwood-flooring-leawood-ks</x:v>
      </x:c>
      <x:c r="D9" s="87" t="n">
        <x:v>17</x:v>
      </x:c>
      <x:c r="E9" s="88" t="n">
        <x:f>IF(D9="","",D9/'Summary'!$B$6)</x:f>
        <x:v>0.05396825396825397</x:v>
      </x:c>
      <x:c r="F9" s="86" t="str">
        <x:v>Tier 1</x:v>
      </x:c>
      <x:c r="G9" s="89" t="str"/>
      <x:c r="H9" s="86" t="str">
        <x:v>Unverified</x:v>
      </x:c>
      <x:c r="I9" s="86" t="str">
        <x:v>None</x:v>
      </x:c>
      <x:c r="J9" s="86" t="str">
        <x:f>IF(AND(G9&lt;&gt;"",H9="Verified",I9="Verified"),"A",IF(G9&lt;&gt;"","B",IF(D9&gt;=8,"C","D")))</x:f>
        <x:v>C</x:v>
      </x:c>
      <x:c r="K9" s="86" t="str">
        <x:v>Index after enrichment</x:v>
      </x:c>
      <x:c r="L9" s="90" t="str">
        <x:v>Priority refinishing, installation, and repair keywords</x:v>
      </x:c>
      <x:c r="M9" s="90" t="str">
        <x:v>Attributable project, verified photos, city-matched review</x:v>
      </x:c>
      <x:c r="N9" s="90" t="str">
        <x:v>Original SEO-plan priority</x:v>
      </x:c>
    </x:row>
    <x:row r="10" ht="48" customHeight="1">
      <x:c r="A10" s="86" t="str">
        <x:v>Shawnee</x:v>
      </x:c>
      <x:c r="B10" s="86" t="str">
        <x:v>KS</x:v>
      </x:c>
      <x:c r="C10" s="89" t="str">
        <x:v>/service-areas/hardwood-flooring-shawnee-ks</x:v>
      </x:c>
      <x:c r="D10" s="87" t="n">
        <x:v>13</x:v>
      </x:c>
      <x:c r="E10" s="88" t="n">
        <x:f>IF(D10="","",D10/'Summary'!$B$6)</x:f>
        <x:v>0.04126984126984127</x:v>
      </x:c>
      <x:c r="F10" s="86" t="str">
        <x:v>Tier 1</x:v>
      </x:c>
      <x:c r="G10" s="89" t="str"/>
      <x:c r="H10" s="86" t="str">
        <x:v>Unverified</x:v>
      </x:c>
      <x:c r="I10" s="86" t="str">
        <x:v>None</x:v>
      </x:c>
      <x:c r="J10" s="86" t="str">
        <x:f>IF(AND(G10&lt;&gt;"",H10="Verified",I10="Verified"),"A",IF(G10&lt;&gt;"","B",IF(D10&gt;=8,"C","D")))</x:f>
        <x:v>C</x:v>
      </x:c>
      <x:c r="K10" s="86" t="str">
        <x:v>Index after enrichment</x:v>
      </x:c>
      <x:c r="L10" s="90" t="str">
        <x:v>Priority refinishing and installation keywords + volume</x:v>
      </x:c>
      <x:c r="M10" s="90" t="str">
        <x:v>Attributable project, verified photos, city-matched review</x:v>
      </x:c>
      <x:c r="N10" s="90" t="str">
        <x:v>Original SEO-plan priority</x:v>
      </x:c>
    </x:row>
    <x:row r="11" ht="48" customHeight="1">
      <x:c r="A11" s="86" t="str">
        <x:v>Olathe</x:v>
      </x:c>
      <x:c r="B11" s="86" t="str">
        <x:v>KS</x:v>
      </x:c>
      <x:c r="C11" s="89" t="str">
        <x:v>/service-areas/hardwood-flooring-olathe-ks</x:v>
      </x:c>
      <x:c r="D11" s="87" t="n">
        <x:v>12</x:v>
      </x:c>
      <x:c r="E11" s="88" t="n">
        <x:f>IF(D11="","",D11/'Summary'!$B$6)</x:f>
        <x:v>0.0380952380952381</x:v>
      </x:c>
      <x:c r="F11" s="86" t="str">
        <x:v>Tier 1</x:v>
      </x:c>
      <x:c r="G11" s="89" t="str"/>
      <x:c r="H11" s="86" t="str">
        <x:v>Unverified</x:v>
      </x:c>
      <x:c r="I11" s="86" t="str">
        <x:v>None</x:v>
      </x:c>
      <x:c r="J11" s="86" t="str">
        <x:f>IF(AND(G11&lt;&gt;"",H11="Verified",I11="Verified"),"A",IF(G11&lt;&gt;"","B",IF(D11&gt;=8,"C","D")))</x:f>
        <x:v>C</x:v>
      </x:c>
      <x:c r="K11" s="86" t="str">
        <x:v>Index after enrichment</x:v>
      </x:c>
      <x:c r="L11" s="90" t="str">
        <x:v>Priority refinishing and installation keywords + volume</x:v>
      </x:c>
      <x:c r="M11" s="90" t="str">
        <x:v>Attributable project, verified photos, city-matched review</x:v>
      </x:c>
      <x:c r="N11" s="90" t="str">
        <x:v>Original SEO-plan priority</x:v>
      </x:c>
    </x:row>
    <x:row r="12" ht="48" customHeight="1">
      <x:c r="A12" s="86" t="str">
        <x:v>Lenexa</x:v>
      </x:c>
      <x:c r="B12" s="86" t="str">
        <x:v>KS</x:v>
      </x:c>
      <x:c r="C12" s="89" t="str">
        <x:v>/service-areas/hardwood-flooring-lenexa-ks</x:v>
      </x:c>
      <x:c r="D12" s="87" t="n">
        <x:v>6</x:v>
      </x:c>
      <x:c r="E12" s="88" t="n">
        <x:f>IF(D12="","",D12/'Summary'!$B$6)</x:f>
        <x:v>0.01904761904761905</x:v>
      </x:c>
      <x:c r="F12" s="86" t="str">
        <x:v>Tier 1</x:v>
      </x:c>
      <x:c r="G12" s="89" t="str">
        <x:v>/projects/stage-steps-installation-in-lenexa-ks</x:v>
      </x:c>
      <x:c r="H12" s="86" t="str">
        <x:v>Provisional</x:v>
      </x:c>
      <x:c r="I12" s="86" t="str">
        <x:v>None</x:v>
      </x:c>
      <x:c r="J12" s="86" t="str">
        <x:f>IF(AND(G12&lt;&gt;"",H12="Verified",I12="Verified"),"A",IF(G12&lt;&gt;"","B",IF(D12&gt;=8,"C","D")))</x:f>
        <x:v>B</x:v>
      </x:c>
      <x:c r="K12" s="86" t="str">
        <x:v>Index after enrichment</x:v>
      </x:c>
      <x:c r="L12" s="90" t="str">
        <x:v>Priority keywords + existing stairs project</x:v>
      </x:c>
      <x:c r="M12" s="90" t="str">
        <x:v>Confirm image provenance; add residential proof and city review</x:v>
      </x:c>
      <x:c r="N12" s="90" t="str">
        <x:v>Promoted despite lower count because proof and keyword opportunity are strong</x:v>
      </x:c>
    </x:row>
    <x:row r="13" ht="48" customHeight="1">
      <x:c r="A13" s="86" t="str">
        <x:v>Roeland Park</x:v>
      </x:c>
      <x:c r="B13" s="86" t="str">
        <x:v>KS</x:v>
      </x:c>
      <x:c r="C13" s="89" t="str">
        <x:v>/service-areas/hardwood-flooring-roeland-park-ks</x:v>
      </x:c>
      <x:c r="D13" s="87" t="n">
        <x:v>12</x:v>
      </x:c>
      <x:c r="E13" s="88" t="n">
        <x:f>IF(D13="","",D13/'Summary'!$B$6)</x:f>
        <x:v>0.0380952380952381</x:v>
      </x:c>
      <x:c r="F13" s="86" t="str">
        <x:v>Tier 2</x:v>
      </x:c>
      <x:c r="G13" s="89" t="str"/>
      <x:c r="H13" s="86" t="str">
        <x:v>Unverified</x:v>
      </x:c>
      <x:c r="I13" s="86" t="str">
        <x:v>None</x:v>
      </x:c>
      <x:c r="J13" s="86" t="str">
        <x:f>IF(AND(G13&lt;&gt;"",H13="Verified",I13="Verified"),"A",IF(G13&lt;&gt;"","B",IF(D13&gt;=8,"C","D")))</x:f>
        <x:v>C</x:v>
      </x:c>
      <x:c r="K13" s="86" t="str">
        <x:v>Index after local proof</x:v>
      </x:c>
      <x:c r="L13" s="90" t="str">
        <x:v>Strong project volume</x:v>
      </x:c>
      <x:c r="M13" s="90" t="str">
        <x:v>Attributable project or verified photo set; city review</x:v>
      </x:c>
      <x:c r="N13" s="90" t="str">
        <x:v>Good candidate immediately after Tier 1</x:v>
      </x:c>
    </x:row>
    <x:row r="14" ht="48" customHeight="1">
      <x:c r="A14" s="86" t="str">
        <x:v>Weatherby Lake</x:v>
      </x:c>
      <x:c r="B14" s="86" t="str">
        <x:v>MO</x:v>
      </x:c>
      <x:c r="C14" s="89" t="str">
        <x:v>/service-areas/hardwood-flooring-weatherby-lake-mo</x:v>
      </x:c>
      <x:c r="D14" s="87" t="n">
        <x:v>10</x:v>
      </x:c>
      <x:c r="E14" s="88" t="n">
        <x:f>IF(D14="","",D14/'Summary'!$B$6)</x:f>
        <x:v>0.031746031746031744</x:v>
      </x:c>
      <x:c r="F14" s="86" t="str">
        <x:v>Tier 2</x:v>
      </x:c>
      <x:c r="G14" s="89" t="str"/>
      <x:c r="H14" s="86" t="str">
        <x:v>Unverified</x:v>
      </x:c>
      <x:c r="I14" s="86" t="str">
        <x:v>None</x:v>
      </x:c>
      <x:c r="J14" s="86" t="str">
        <x:f>IF(AND(G14&lt;&gt;"",H14="Verified",I14="Verified"),"A",IF(G14&lt;&gt;"","B",IF(D14&gt;=8,"C","D")))</x:f>
        <x:v>C</x:v>
      </x:c>
      <x:c r="K14" s="86" t="str">
        <x:v>Index after local proof</x:v>
      </x:c>
      <x:c r="L14" s="90" t="str">
        <x:v>Double-digit project history</x:v>
      </x:c>
      <x:c r="M14" s="90" t="str">
        <x:v>Attributable project or verified photo set</x:v>
      </x:c>
      <x:c r="N14" s="90" t="str">
        <x:v>Validate whether enough distinct local content exists</x:v>
      </x:c>
    </x:row>
    <x:row r="15" ht="48" customHeight="1">
      <x:c r="A15" s="86" t="str">
        <x:v>Mission</x:v>
      </x:c>
      <x:c r="B15" s="86" t="str">
        <x:v>KS</x:v>
      </x:c>
      <x:c r="C15" s="89" t="str">
        <x:v>/service-areas/hardwood-flooring-mission-ks</x:v>
      </x:c>
      <x:c r="D15" s="87" t="n">
        <x:v>9</x:v>
      </x:c>
      <x:c r="E15" s="88" t="n">
        <x:f>IF(D15="","",D15/'Summary'!$B$6)</x:f>
        <x:v>0.02857142857142857</x:v>
      </x:c>
      <x:c r="F15" s="86" t="str">
        <x:v>Tier 2</x:v>
      </x:c>
      <x:c r="G15" s="89" t="str"/>
      <x:c r="H15" s="86" t="str">
        <x:v>Unverified</x:v>
      </x:c>
      <x:c r="I15" s="86" t="str">
        <x:v>None</x:v>
      </x:c>
      <x:c r="J15" s="86" t="str">
        <x:f>IF(AND(G15&lt;&gt;"",H15="Verified",I15="Verified"),"A",IF(G15&lt;&gt;"","B",IF(D15&gt;=8,"C","D")))</x:f>
        <x:v>C</x:v>
      </x:c>
      <x:c r="K15" s="86" t="str">
        <x:v>Index after local proof</x:v>
      </x:c>
      <x:c r="L15" s="90" t="str">
        <x:v>Nine completed projects + central service area</x:v>
      </x:c>
      <x:c r="M15" s="90" t="str">
        <x:v>Attributable project or verified photo set</x:v>
      </x:c>
      <x:c r="N15" s="90" t="str">
        <x:v>Do not conflate Mission with Mission Hills</x:v>
      </x:c>
    </x:row>
    <x:row r="16" ht="48" customHeight="1">
      <x:c r="A16" s="86" t="str">
        <x:v>Grandview</x:v>
      </x:c>
      <x:c r="B16" s="86" t="str">
        <x:v>MO</x:v>
      </x:c>
      <x:c r="C16" s="89" t="str">
        <x:v>/service-areas/hardwood-flooring-grandview-mo</x:v>
      </x:c>
      <x:c r="D16" s="87" t="n">
        <x:v>8</x:v>
      </x:c>
      <x:c r="E16" s="88" t="n">
        <x:f>IF(D16="","",D16/'Summary'!$B$6)</x:f>
        <x:v>0.025396825396825397</x:v>
      </x:c>
      <x:c r="F16" s="86" t="str">
        <x:v>Tier 2</x:v>
      </x:c>
      <x:c r="G16" s="89" t="str"/>
      <x:c r="H16" s="86" t="str">
        <x:v>Unverified</x:v>
      </x:c>
      <x:c r="I16" s="86" t="str">
        <x:v>None</x:v>
      </x:c>
      <x:c r="J16" s="86" t="str">
        <x:f>IF(AND(G16&lt;&gt;"",H16="Verified",I16="Verified"),"A",IF(G16&lt;&gt;"","B",IF(D16&gt;=8,"C","D")))</x:f>
        <x:v>C</x:v>
      </x:c>
      <x:c r="K16" s="86" t="str">
        <x:v>Index after local proof</x:v>
      </x:c>
      <x:c r="L16" s="90" t="str">
        <x:v>Eight completed projects</x:v>
      </x:c>
      <x:c r="M16" s="90" t="str">
        <x:v>Attributable project or verified photo set</x:v>
      </x:c>
      <x:c r="N16" s="90" t="str">
        <x:v>Needs proof beyond aggregate count</x:v>
      </x:c>
    </x:row>
    <x:row r="17" ht="48" customHeight="1">
      <x:c r="A17" s="86" t="str">
        <x:v>Westwood</x:v>
      </x:c>
      <x:c r="B17" s="86" t="str">
        <x:v>KS</x:v>
      </x:c>
      <x:c r="C17" s="89" t="str">
        <x:v>/service-areas/hardwood-flooring-westwood-ks</x:v>
      </x:c>
      <x:c r="D17" s="87" t="n">
        <x:v>7</x:v>
      </x:c>
      <x:c r="E17" s="88" t="n">
        <x:f>IF(D17="","",D17/'Summary'!$B$6)</x:f>
        <x:v>0.022222222222222223</x:v>
      </x:c>
      <x:c r="F17" s="86" t="str">
        <x:v>Tier 2</x:v>
      </x:c>
      <x:c r="G17" s="89" t="str"/>
      <x:c r="H17" s="86" t="str">
        <x:v>Unverified</x:v>
      </x:c>
      <x:c r="I17" s="86" t="str">
        <x:v>None</x:v>
      </x:c>
      <x:c r="J17" s="86" t="str">
        <x:f>IF(AND(G17&lt;&gt;"",H17="Verified",I17="Verified"),"A",IF(G17&lt;&gt;"","B",IF(D17&gt;=8,"C","D")))</x:f>
        <x:v>D</x:v>
      </x:c>
      <x:c r="K17" s="86" t="str">
        <x:v>Index after local proof</x:v>
      </x:c>
      <x:c r="L17" s="90" t="str">
        <x:v>Original SEO priority + established-home positioning</x:v>
      </x:c>
      <x:c r="M17" s="90" t="str">
        <x:v>Attributable project, photos, city-matched review</x:v>
      </x:c>
      <x:c r="N17" s="90" t="str">
        <x:v>Original SEO-plan priority</x:v>
      </x:c>
    </x:row>
    <x:row r="18" ht="48" customHeight="1">
      <x:c r="A18" s="86" t="str">
        <x:v>Gladstone</x:v>
      </x:c>
      <x:c r="B18" s="86" t="str">
        <x:v>MO</x:v>
      </x:c>
      <x:c r="C18" s="89" t="str">
        <x:v>/service-areas/hardwood-flooring-gladstone-mo</x:v>
      </x:c>
      <x:c r="D18" s="87" t="n">
        <x:v>4</x:v>
      </x:c>
      <x:c r="E18" s="88" t="n">
        <x:f>IF(D18="","",D18/'Summary'!$B$6)</x:f>
        <x:v>0.012698412698412698</x:v>
      </x:c>
      <x:c r="F18" s="86" t="str">
        <x:v>Tier 2</x:v>
      </x:c>
      <x:c r="G18" s="89" t="str"/>
      <x:c r="H18" s="86" t="str">
        <x:v>Unverified</x:v>
      </x:c>
      <x:c r="I18" s="86" t="str">
        <x:v>None</x:v>
      </x:c>
      <x:c r="J18" s="86" t="str">
        <x:f>IF(AND(G18&lt;&gt;"",H18="Verified",I18="Verified"),"A",IF(G18&lt;&gt;"","B",IF(D18&gt;=8,"C","D")))</x:f>
        <x:v>D</x:v>
      </x:c>
      <x:c r="K18" s="86" t="str">
        <x:v>Index after local proof</x:v>
      </x:c>
      <x:c r="L18" s="90" t="str">
        <x:v>Existing project history in Northland</x:v>
      </x:c>
      <x:c r="M18" s="90" t="str">
        <x:v>One attributable project with photos</x:v>
      </x:c>
      <x:c r="N18" s="90" t="str">
        <x:v>Could share regional insights, not duplicate North Kansas City copy</x:v>
      </x:c>
    </x:row>
    <x:row r="19" ht="48" customHeight="1">
      <x:c r="A19" s="86" t="str">
        <x:v>North Kansas City</x:v>
      </x:c>
      <x:c r="B19" s="86" t="str">
        <x:v>MO</x:v>
      </x:c>
      <x:c r="C19" s="89" t="str">
        <x:v>/service-areas/hardwood-flooring-north-kansas-city-mo</x:v>
      </x:c>
      <x:c r="D19" s="87" t="n">
        <x:v>4</x:v>
      </x:c>
      <x:c r="E19" s="88" t="n">
        <x:f>IF(D19="","",D19/'Summary'!$B$6)</x:f>
        <x:v>0.012698412698412698</x:v>
      </x:c>
      <x:c r="F19" s="86" t="str">
        <x:v>Tier 2</x:v>
      </x:c>
      <x:c r="G19" s="89" t="str"/>
      <x:c r="H19" s="86" t="str">
        <x:v>Unverified</x:v>
      </x:c>
      <x:c r="I19" s="86" t="str">
        <x:v>None</x:v>
      </x:c>
      <x:c r="J19" s="86" t="str">
        <x:f>IF(AND(G19&lt;&gt;"",H19="Verified",I19="Verified"),"A",IF(G19&lt;&gt;"","B",IF(D19&gt;=8,"C","D")))</x:f>
        <x:v>D</x:v>
      </x:c>
      <x:c r="K19" s="86" t="str">
        <x:v>Index after local proof</x:v>
      </x:c>
      <x:c r="L19" s="90" t="str">
        <x:v>Distinct municipality + Northland relevance</x:v>
      </x:c>
      <x:c r="M19" s="90" t="str">
        <x:v>One attributable project with photos</x:v>
      </x:c>
      <x:c r="N19" s="90" t="str">
        <x:v>Keep separate from Kansas City, MO</x:v>
      </x:c>
    </x:row>
    <x:row r="20" ht="48" customHeight="1">
      <x:c r="A20" s="86" t="str">
        <x:v>Raytown</x:v>
      </x:c>
      <x:c r="B20" s="86" t="str">
        <x:v>MO</x:v>
      </x:c>
      <x:c r="C20" s="89" t="str">
        <x:v>/service-areas/hardwood-flooring-raytown-mo</x:v>
      </x:c>
      <x:c r="D20" s="87" t="n">
        <x:v>4</x:v>
      </x:c>
      <x:c r="E20" s="88" t="n">
        <x:f>IF(D20="","",D20/'Summary'!$B$6)</x:f>
        <x:v>0.012698412698412698</x:v>
      </x:c>
      <x:c r="F20" s="86" t="str">
        <x:v>Tier 2</x:v>
      </x:c>
      <x:c r="G20" s="89" t="str"/>
      <x:c r="H20" s="86" t="str">
        <x:v>Unverified</x:v>
      </x:c>
      <x:c r="I20" s="86" t="str">
        <x:v>None</x:v>
      </x:c>
      <x:c r="J20" s="86" t="str">
        <x:f>IF(AND(G20&lt;&gt;"",H20="Verified",I20="Verified"),"A",IF(G20&lt;&gt;"","B",IF(D20&gt;=8,"C","D")))</x:f>
        <x:v>D</x:v>
      </x:c>
      <x:c r="K20" s="86" t="str">
        <x:v>Index after local proof</x:v>
      </x:c>
      <x:c r="L20" s="90" t="str">
        <x:v>Existing project history</x:v>
      </x:c>
      <x:c r="M20" s="90" t="str">
        <x:v>One attributable project with photos</x:v>
      </x:c>
      <x:c r="N20" s="90" t="str">
        <x:v>Needs first-hand project details</x:v>
      </x:c>
    </x:row>
    <x:row r="21" ht="48" customHeight="1">
      <x:c r="A21" s="86" t="str">
        <x:v>Fairway</x:v>
      </x:c>
      <x:c r="B21" s="86" t="str">
        <x:v>KS</x:v>
      </x:c>
      <x:c r="C21" s="89" t="str">
        <x:v>/service-areas/hardwood-flooring-fairway-ks</x:v>
      </x:c>
      <x:c r="D21" s="87" t="n">
        <x:v>3</x:v>
      </x:c>
      <x:c r="E21" s="88" t="n">
        <x:f>IF(D21="","",D21/'Summary'!$B$6)</x:f>
        <x:v>0.009523809523809525</x:v>
      </x:c>
      <x:c r="F21" s="86" t="str">
        <x:v>Tier 2</x:v>
      </x:c>
      <x:c r="G21" s="89" t="str"/>
      <x:c r="H21" s="86" t="str">
        <x:v>Unverified</x:v>
      </x:c>
      <x:c r="I21" s="86" t="str">
        <x:v>None</x:v>
      </x:c>
      <x:c r="J21" s="86" t="str">
        <x:f>IF(AND(G21&lt;&gt;"",H21="Verified",I21="Verified"),"A",IF(G21&lt;&gt;"","B",IF(D21&gt;=8,"C","D")))</x:f>
        <x:v>D</x:v>
      </x:c>
      <x:c r="K21" s="86" t="str">
        <x:v>Index after local proof</x:v>
      </x:c>
      <x:c r="L21" s="90" t="str">
        <x:v>Original SEO priority despite low volume</x:v>
      </x:c>
      <x:c r="M21" s="90" t="str">
        <x:v>One attributable restoration project and review</x:v>
      </x:c>
      <x:c r="N21" s="90" t="str">
        <x:v>Quality of proof matters more than page length</x:v>
      </x:c>
    </x:row>
    <x:row r="22" ht="48" customHeight="1">
      <x:c r="A22" s="86" t="str">
        <x:v>Independence</x:v>
      </x:c>
      <x:c r="B22" s="86" t="str">
        <x:v>MO</x:v>
      </x:c>
      <x:c r="C22" s="89" t="str">
        <x:v>/service-areas/hardwood-flooring-independence-mo</x:v>
      </x:c>
      <x:c r="D22" s="87" t="n">
        <x:v>3</x:v>
      </x:c>
      <x:c r="E22" s="88" t="n">
        <x:f>IF(D22="","",D22/'Summary'!$B$6)</x:f>
        <x:v>0.009523809523809525</x:v>
      </x:c>
      <x:c r="F22" s="86" t="str">
        <x:v>Tier 2</x:v>
      </x:c>
      <x:c r="G22" s="89" t="str"/>
      <x:c r="H22" s="86" t="str">
        <x:v>Unverified</x:v>
      </x:c>
      <x:c r="I22" s="86" t="str">
        <x:v>None</x:v>
      </x:c>
      <x:c r="J22" s="86" t="str">
        <x:f>IF(AND(G22&lt;&gt;"",H22="Verified",I22="Verified"),"A",IF(G22&lt;&gt;"","B",IF(D22&gt;=8,"C","D")))</x:f>
        <x:v>D</x:v>
      </x:c>
      <x:c r="K22" s="86" t="str">
        <x:v>Index after local proof</x:v>
      </x:c>
      <x:c r="L22" s="90" t="str">
        <x:v>Existing project history + distinct market</x:v>
      </x:c>
      <x:c r="M22" s="90" t="str">
        <x:v>One attributable project with photos</x:v>
      </x:c>
      <x:c r="N22" s="90" t="str">
        <x:v>Do not publish generic landmark filler</x:v>
      </x:c>
    </x:row>
    <x:row r="23" ht="48" customHeight="1">
      <x:c r="A23" s="86" t="str">
        <x:v>Lawrence</x:v>
      </x:c>
      <x:c r="B23" s="86" t="str">
        <x:v>KS</x:v>
      </x:c>
      <x:c r="C23" s="89" t="str">
        <x:v>/service-areas/hardwood-flooring-lawrence-ks</x:v>
      </x:c>
      <x:c r="D23" s="87" t="n">
        <x:v>3</x:v>
      </x:c>
      <x:c r="E23" s="88" t="n">
        <x:f>IF(D23="","",D23/'Summary'!$B$6)</x:f>
        <x:v>0.009523809523809525</x:v>
      </x:c>
      <x:c r="F23" s="86" t="str">
        <x:v>Tier 2</x:v>
      </x:c>
      <x:c r="G23" s="89" t="str">
        <x:v>/projects/floor-installation-and-finish-in-lawrence-ks</x:v>
      </x:c>
      <x:c r="H23" s="86" t="str">
        <x:v>Provisional</x:v>
      </x:c>
      <x:c r="I23" s="86" t="str">
        <x:v>None</x:v>
      </x:c>
      <x:c r="J23" s="86" t="str">
        <x:f>IF(AND(G23&lt;&gt;"",H23="Verified",I23="Verified"),"A",IF(G23&lt;&gt;"","B",IF(D23&gt;=8,"C","D")))</x:f>
        <x:v>B</x:v>
      </x:c>
      <x:c r="K23" s="86" t="str">
        <x:v>Index after local proof</x:v>
      </x:c>
      <x:c r="L23" s="90" t="str">
        <x:v>Existing whole-home project + keyword-plan option</x:v>
      </x:c>
      <x:c r="M23" s="90" t="str">
        <x:v>Confirm Noble still targets Lawrence; verify project image and details</x:v>
      </x:c>
      <x:c r="N23" s="90" t="str">
        <x:v>Business targeting confirmation required</x:v>
      </x:c>
    </x:row>
    <x:row r="24" ht="48" customHeight="1">
      <x:c r="A24" s="86" t="str">
        <x:v>Basehor</x:v>
      </x:c>
      <x:c r="B24" s="86" t="str">
        <x:v>KS</x:v>
      </x:c>
      <x:c r="C24" s="89" t="str">
        <x:v>/service-areas/hardwood-flooring-basehor-ks</x:v>
      </x:c>
      <x:c r="D24" s="87" t="n">
        <x:v>2</x:v>
      </x:c>
      <x:c r="E24" s="88" t="n">
        <x:f>IF(D24="","",D24/'Summary'!$B$6)</x:f>
        <x:v>0.006349206349206349</x:v>
      </x:c>
      <x:c r="F24" s="86" t="str">
        <x:v>Tier 3</x:v>
      </x:c>
      <x:c r="G24" s="89" t="str"/>
      <x:c r="H24" s="86" t="str">
        <x:v>Unverified</x:v>
      </x:c>
      <x:c r="I24" s="86" t="str">
        <x:v>None</x:v>
      </x:c>
      <x:c r="J24" s="86" t="str">
        <x:f>IF(AND(G24&lt;&gt;"",H24="Verified",I24="Verified"),"A",IF(G24&lt;&gt;"","B",IF(D24&gt;=8,"C","D")))</x:f>
        <x:v>D</x:v>
      </x:c>
      <x:c r="K24" s="86" t="str">
        <x:v>Hold / consolidate</x:v>
      </x:c>
      <x:c r="L24" s="90" t="str">
        <x:v>Two completed projects; no corroborating assets</x:v>
      </x:c>
      <x:c r="M24" s="90" t="str">
        <x:v>Attributable project, photos, and useful local insight</x:v>
      </x:c>
      <x:c r="N24" s="90" t="str">
        <x:v>Keep in service-area coverage until evidence improves</x:v>
      </x:c>
    </x:row>
    <x:row r="25" ht="48" customHeight="1">
      <x:c r="A25" s="86" t="str">
        <x:v>Liberty</x:v>
      </x:c>
      <x:c r="B25" s="86" t="str">
        <x:v>MO</x:v>
      </x:c>
      <x:c r="C25" s="89" t="str">
        <x:v>/service-areas/hardwood-flooring-liberty-mo</x:v>
      </x:c>
      <x:c r="D25" s="87" t="n">
        <x:v>2</x:v>
      </x:c>
      <x:c r="E25" s="88" t="n">
        <x:f>IF(D25="","",D25/'Summary'!$B$6)</x:f>
        <x:v>0.006349206349206349</x:v>
      </x:c>
      <x:c r="F25" s="86" t="str">
        <x:v>Tier 3</x:v>
      </x:c>
      <x:c r="G25" s="89" t="str"/>
      <x:c r="H25" s="86" t="str">
        <x:v>Unverified</x:v>
      </x:c>
      <x:c r="I25" s="86" t="str">
        <x:v>None</x:v>
      </x:c>
      <x:c r="J25" s="86" t="str">
        <x:f>IF(AND(G25&lt;&gt;"",H25="Verified",I25="Verified"),"A",IF(G25&lt;&gt;"","B",IF(D25&gt;=8,"C","D")))</x:f>
        <x:v>D</x:v>
      </x:c>
      <x:c r="K25" s="86" t="str">
        <x:v>Hold / consolidate</x:v>
      </x:c>
      <x:c r="L25" s="90" t="str">
        <x:v>Two completed projects; no corroborating assets</x:v>
      </x:c>
      <x:c r="M25" s="90" t="str">
        <x:v>Attributable project, photos, and useful local insight</x:v>
      </x:c>
      <x:c r="N25" s="90" t="str">
        <x:v>Keep in service-area coverage until evidence improves</x:v>
      </x:c>
    </x:row>
    <x:row r="26" ht="48" customHeight="1">
      <x:c r="A26" s="86" t="str">
        <x:v>Parkville</x:v>
      </x:c>
      <x:c r="B26" s="86" t="str">
        <x:v>MO</x:v>
      </x:c>
      <x:c r="C26" s="89" t="str">
        <x:v>/service-areas/hardwood-flooring-parkville-mo</x:v>
      </x:c>
      <x:c r="D26" s="87" t="n">
        <x:v>2</x:v>
      </x:c>
      <x:c r="E26" s="88" t="n">
        <x:f>IF(D26="","",D26/'Summary'!$B$6)</x:f>
        <x:v>0.006349206349206349</x:v>
      </x:c>
      <x:c r="F26" s="86" t="str">
        <x:v>Tier 3</x:v>
      </x:c>
      <x:c r="G26" s="89" t="str"/>
      <x:c r="H26" s="86" t="str">
        <x:v>Unverified</x:v>
      </x:c>
      <x:c r="I26" s="86" t="str">
        <x:v>None</x:v>
      </x:c>
      <x:c r="J26" s="86" t="str">
        <x:f>IF(AND(G26&lt;&gt;"",H26="Verified",I26="Verified"),"A",IF(G26&lt;&gt;"","B",IF(D26&gt;=8,"C","D")))</x:f>
        <x:v>D</x:v>
      </x:c>
      <x:c r="K26" s="86" t="str">
        <x:v>Hold / consolidate</x:v>
      </x:c>
      <x:c r="L26" s="90" t="str">
        <x:v>Two completed projects; no corroborating assets</x:v>
      </x:c>
      <x:c r="M26" s="90" t="str">
        <x:v>Attributable project, photos, and useful local insight</x:v>
      </x:c>
      <x:c r="N26" s="90" t="str">
        <x:v>Keep in service-area coverage until evidence improves</x:v>
      </x:c>
    </x:row>
    <x:row r="27" ht="48" customHeight="1">
      <x:c r="A27" s="86" t="str">
        <x:v>Riverside</x:v>
      </x:c>
      <x:c r="B27" s="86" t="str">
        <x:v>MO</x:v>
      </x:c>
      <x:c r="C27" s="89" t="str">
        <x:v>/service-areas/hardwood-flooring-riverside-mo</x:v>
      </x:c>
      <x:c r="D27" s="87" t="n">
        <x:v>2</x:v>
      </x:c>
      <x:c r="E27" s="88" t="n">
        <x:f>IF(D27="","",D27/'Summary'!$B$6)</x:f>
        <x:v>0.006349206349206349</x:v>
      </x:c>
      <x:c r="F27" s="86" t="str">
        <x:v>Tier 3</x:v>
      </x:c>
      <x:c r="G27" s="89" t="str"/>
      <x:c r="H27" s="86" t="str">
        <x:v>Unverified</x:v>
      </x:c>
      <x:c r="I27" s="86" t="str">
        <x:v>None</x:v>
      </x:c>
      <x:c r="J27" s="86" t="str">
        <x:f>IF(AND(G27&lt;&gt;"",H27="Verified",I27="Verified"),"A",IF(G27&lt;&gt;"","B",IF(D27&gt;=8,"C","D")))</x:f>
        <x:v>D</x:v>
      </x:c>
      <x:c r="K27" s="86" t="str">
        <x:v>Hold / consolidate</x:v>
      </x:c>
      <x:c r="L27" s="90" t="str">
        <x:v>Two completed projects; no corroborating assets</x:v>
      </x:c>
      <x:c r="M27" s="90" t="str">
        <x:v>Attributable project, photos, and useful local insight</x:v>
      </x:c>
      <x:c r="N27" s="90" t="str">
        <x:v>Keep in service-area coverage until evidence improves</x:v>
      </x:c>
    </x:row>
    <x:row r="28" ht="48" customHeight="1">
      <x:c r="A28" s="86" t="str">
        <x:v>Belton</x:v>
      </x:c>
      <x:c r="B28" s="86" t="str">
        <x:v>MO</x:v>
      </x:c>
      <x:c r="C28" s="89" t="str">
        <x:v>/service-areas/hardwood-flooring-belton-mo</x:v>
      </x:c>
      <x:c r="D28" s="87" t="n">
        <x:v>1</x:v>
      </x:c>
      <x:c r="E28" s="88" t="n">
        <x:f>IF(D28="","",D28/'Summary'!$B$6)</x:f>
        <x:v>0.0031746031746031746</x:v>
      </x:c>
      <x:c r="F28" s="86" t="str">
        <x:v>Tier 3</x:v>
      </x:c>
      <x:c r="G28" s="89" t="str"/>
      <x:c r="H28" s="86" t="str">
        <x:v>Unverified</x:v>
      </x:c>
      <x:c r="I28" s="86" t="str">
        <x:v>None</x:v>
      </x:c>
      <x:c r="J28" s="86" t="str">
        <x:f>IF(AND(G28&lt;&gt;"",H28="Verified",I28="Verified"),"A",IF(G28&lt;&gt;"","B",IF(D28&gt;=8,"C","D")))</x:f>
        <x:v>D</x:v>
      </x:c>
      <x:c r="K28" s="86" t="str">
        <x:v>Hold / consolidate</x:v>
      </x:c>
      <x:c r="L28" s="90" t="str">
        <x:v>One completed project; no corroborating assets</x:v>
      </x:c>
      <x:c r="M28" s="90" t="str">
        <x:v>Full attributable case study before indexing</x:v>
      </x:c>
      <x:c r="N28" s="90" t="str">
        <x:v>Aggregate service-area coverage is currently safer</x:v>
      </x:c>
    </x:row>
    <x:row r="29" ht="48" customHeight="1">
      <x:c r="A29" s="86" t="str">
        <x:v>Kansas City</x:v>
      </x:c>
      <x:c r="B29" s="86" t="str">
        <x:v>KS</x:v>
      </x:c>
      <x:c r="C29" s="89" t="str">
        <x:v>/service-areas/hardwood-flooring-kansas-city-ks</x:v>
      </x:c>
      <x:c r="D29" s="87" t="n">
        <x:v>1</x:v>
      </x:c>
      <x:c r="E29" s="88" t="n">
        <x:f>IF(D29="","",D29/'Summary'!$B$6)</x:f>
        <x:v>0.0031746031746031746</x:v>
      </x:c>
      <x:c r="F29" s="86" t="str">
        <x:v>Tier 3</x:v>
      </x:c>
      <x:c r="G29" s="89" t="str"/>
      <x:c r="H29" s="86" t="str">
        <x:v>Unverified</x:v>
      </x:c>
      <x:c r="I29" s="86" t="str">
        <x:v>None</x:v>
      </x:c>
      <x:c r="J29" s="86" t="str">
        <x:f>IF(AND(G29&lt;&gt;"",H29="Verified",I29="Verified"),"A",IF(G29&lt;&gt;"","B",IF(D29&gt;=8,"C","D")))</x:f>
        <x:v>D</x:v>
      </x:c>
      <x:c r="K29" s="86" t="str">
        <x:v>Hold / consolidate</x:v>
      </x:c>
      <x:c r="L29" s="90" t="str">
        <x:v>One completed project; distinct from Kansas City, MO</x:v>
      </x:c>
      <x:c r="M29" s="90" t="str">
        <x:v>Full attributable case study before indexing</x:v>
      </x:c>
      <x:c r="N29" s="90" t="str">
        <x:v>Avoid confusing or competing with Kansas City, MO page</x:v>
      </x:c>
    </x:row>
    <x:row r="30" ht="48" customHeight="1">
      <x:c r="A30" s="86" t="str">
        <x:v>Kearney</x:v>
      </x:c>
      <x:c r="B30" s="86" t="str">
        <x:v>MO</x:v>
      </x:c>
      <x:c r="C30" s="89" t="str">
        <x:v>/service-areas/hardwood-flooring-kearney-mo</x:v>
      </x:c>
      <x:c r="D30" s="87" t="n">
        <x:v>1</x:v>
      </x:c>
      <x:c r="E30" s="88" t="n">
        <x:f>IF(D30="","",D30/'Summary'!$B$6)</x:f>
        <x:v>0.0031746031746031746</x:v>
      </x:c>
      <x:c r="F30" s="86" t="str">
        <x:v>Tier 3</x:v>
      </x:c>
      <x:c r="G30" s="89" t="str"/>
      <x:c r="H30" s="86" t="str">
        <x:v>Unverified</x:v>
      </x:c>
      <x:c r="I30" s="86" t="str">
        <x:v>None</x:v>
      </x:c>
      <x:c r="J30" s="86" t="str">
        <x:f>IF(AND(G30&lt;&gt;"",H30="Verified",I30="Verified"),"A",IF(G30&lt;&gt;"","B",IF(D30&gt;=8,"C","D")))</x:f>
        <x:v>D</x:v>
      </x:c>
      <x:c r="K30" s="86" t="str">
        <x:v>Hold / consolidate</x:v>
      </x:c>
      <x:c r="L30" s="90" t="str">
        <x:v>One completed project; no corroborating assets</x:v>
      </x:c>
      <x:c r="M30" s="90" t="str">
        <x:v>Full attributable case study before indexing</x:v>
      </x:c>
      <x:c r="N30" s="90" t="str">
        <x:v>Aggregate service-area coverage is currently safer</x:v>
      </x:c>
    </x:row>
    <x:row r="31" ht="48" customHeight="1">
      <x:c r="A31" s="86" t="str">
        <x:v>Peculiar</x:v>
      </x:c>
      <x:c r="B31" s="86" t="str">
        <x:v>MO</x:v>
      </x:c>
      <x:c r="C31" s="89" t="str">
        <x:v>/service-areas/hardwood-flooring-peculiar-mo</x:v>
      </x:c>
      <x:c r="D31" s="87" t="n">
        <x:v>1</x:v>
      </x:c>
      <x:c r="E31" s="88" t="n">
        <x:f>IF(D31="","",D31/'Summary'!$B$6)</x:f>
        <x:v>0.0031746031746031746</x:v>
      </x:c>
      <x:c r="F31" s="86" t="str">
        <x:v>Tier 3</x:v>
      </x:c>
      <x:c r="G31" s="89" t="str"/>
      <x:c r="H31" s="86" t="str">
        <x:v>Unverified</x:v>
      </x:c>
      <x:c r="I31" s="86" t="str">
        <x:v>None</x:v>
      </x:c>
      <x:c r="J31" s="86" t="str">
        <x:f>IF(AND(G31&lt;&gt;"",H31="Verified",I31="Verified"),"A",IF(G31&lt;&gt;"","B",IF(D31&gt;=8,"C","D")))</x:f>
        <x:v>D</x:v>
      </x:c>
      <x:c r="K31" s="86" t="str">
        <x:v>Hold / consolidate</x:v>
      </x:c>
      <x:c r="L31" s="90" t="str">
        <x:v>One completed project; no corroborating assets</x:v>
      </x:c>
      <x:c r="M31" s="90" t="str">
        <x:v>Full attributable case study before indexing</x:v>
      </x:c>
      <x:c r="N31" s="90" t="str">
        <x:v>Aggregate service-area coverage is currently safer</x:v>
      </x:c>
    </x:row>
    <x:row r="32" ht="48" customHeight="1">
      <x:c r="A32" s="86" t="str">
        <x:v>Briarcliff</x:v>
      </x:c>
      <x:c r="B32" s="86" t="str">
        <x:v>MO</x:v>
      </x:c>
      <x:c r="C32" s="89" t="str"/>
      <x:c r="D32" s="87"/>
      <x:c r="E32" s="88" t="str">
        <x:f>IF(D32="","",D32/'Summary'!$B$6)</x:f>
      </x:c>
      <x:c r="F32" s="86" t="str">
        <x:v>Strategic gap</x:v>
      </x:c>
      <x:c r="G32" s="89" t="str">
        <x:v>/projects/installation-repair-and-refinish-in-briarcliff-mo</x:v>
      </x:c>
      <x:c r="H32" s="86" t="str">
        <x:v>Provisional</x:v>
      </x:c>
      <x:c r="I32" s="86" t="str">
        <x:v>None</x:v>
      </x:c>
      <x:c r="J32" s="86" t="str">
        <x:f>IF(AND(G32&lt;&gt;"",H32="Verified",I32="Verified"),"A",IF(G32&lt;&gt;"","B",IF(D32&gt;=8,"C","D")))</x:f>
        <x:v>B</x:v>
      </x:c>
      <x:c r="K32" s="86" t="str">
        <x:v>Create after proof confirmation</x:v>
      </x:c>
      <x:c r="L32" s="90" t="str">
        <x:v>Original SEO priority + existing case study</x:v>
      </x:c>
      <x:c r="M32" s="90" t="str">
        <x:v>Confirm project count, neighborhood targeting, image provenance, and review</x:v>
      </x:c>
      <x:c r="N32" s="90" t="str">
        <x:v>Treat as a Kansas City neighborhood, not a separate municipality</x:v>
      </x:c>
    </x:row>
    <x:row r="33" ht="48" customHeight="1">
      <x:c r="A33" s="86" t="str">
        <x:v>Mission Hills</x:v>
      </x:c>
      <x:c r="B33" s="86" t="str">
        <x:v>KS</x:v>
      </x:c>
      <x:c r="C33" s="89" t="str"/>
      <x:c r="D33" s="87"/>
      <x:c r="E33" s="88" t="str">
        <x:f>IF(D33="","",D33/'Summary'!$B$6)</x:f>
      </x:c>
      <x:c r="F33" s="86" t="str">
        <x:v>Strategic gap</x:v>
      </x:c>
      <x:c r="G33" s="89" t="str"/>
      <x:c r="H33" s="86" t="str">
        <x:v>Unverified</x:v>
      </x:c>
      <x:c r="I33" s="86" t="str">
        <x:v>None</x:v>
      </x:c>
      <x:c r="J33" s="86" t="str">
        <x:f>IF(AND(G33&lt;&gt;"",H33="Verified",I33="Verified"),"A",IF(G33&lt;&gt;"","B",IF(D33&gt;=8,"C","D")))</x:f>
        <x:v>D</x:v>
      </x:c>
      <x:c r="K33" s="86" t="str">
        <x:v>Hold / collect evidence</x:v>
      </x:c>
      <x:c r="L33" s="90" t="str">
        <x:v>Original SEO and market priority</x:v>
      </x:c>
      <x:c r="M33" s="90" t="str">
        <x:v>CRM count, attributable project, photos, and review</x:v>
      </x:c>
      <x:c r="N33" s="90" t="str">
        <x:v>Do not borrow Mission, KS project count</x:v>
      </x:c>
    </x:row>
    <x:row r="34" ht="48" customHeight="1">
      <x:c r="A34" s="86" t="str">
        <x:v>Brookside</x:v>
      </x:c>
      <x:c r="B34" s="86" t="str">
        <x:v>MO</x:v>
      </x:c>
      <x:c r="C34" s="89" t="str"/>
      <x:c r="D34" s="87"/>
      <x:c r="E34" s="88" t="str">
        <x:f>IF(D34="","",D34/'Summary'!$B$6)</x:f>
      </x:c>
      <x:c r="F34" s="86" t="str">
        <x:v>Strategic gap</x:v>
      </x:c>
      <x:c r="G34" s="89" t="str"/>
      <x:c r="H34" s="86" t="str">
        <x:v>Unverified</x:v>
      </x:c>
      <x:c r="I34" s="86" t="str">
        <x:v>None</x:v>
      </x:c>
      <x:c r="J34" s="86" t="str">
        <x:f>IF(AND(G34&lt;&gt;"",H34="Verified",I34="Verified"),"A",IF(G34&lt;&gt;"","B",IF(D34&gt;=8,"C","D")))</x:f>
        <x:v>D</x:v>
      </x:c>
      <x:c r="K34" s="86" t="str">
        <x:v>Hold / collect evidence</x:v>
      </x:c>
      <x:c r="L34" s="90" t="str">
        <x:v>Original neighborhood keyword priority</x:v>
      </x:c>
      <x:c r="M34" s="90" t="str">
        <x:v>CRM count, attributable project, photos, and review</x:v>
      </x:c>
      <x:c r="N34" s="90" t="str">
        <x:v>Treat as a Kansas City neighborhood</x:v>
      </x:c>
    </x:row>
    <x:row r="35" ht="48" customHeight="1">
      <x:c r="A35" s="86" t="str">
        <x:v>Waldo</x:v>
      </x:c>
      <x:c r="B35" s="86" t="str">
        <x:v>MO</x:v>
      </x:c>
      <x:c r="C35" s="89" t="str"/>
      <x:c r="D35" s="87"/>
      <x:c r="E35" s="88" t="str">
        <x:f>IF(D35="","",D35/'Summary'!$B$6)</x:f>
      </x:c>
      <x:c r="F35" s="86" t="str">
        <x:v>Strategic gap</x:v>
      </x:c>
      <x:c r="G35" s="89" t="str"/>
      <x:c r="H35" s="86" t="str">
        <x:v>Unverified</x:v>
      </x:c>
      <x:c r="I35" s="86" t="str">
        <x:v>None</x:v>
      </x:c>
      <x:c r="J35" s="86" t="str">
        <x:f>IF(AND(G35&lt;&gt;"",H35="Verified",I35="Verified"),"A",IF(G35&lt;&gt;"","B",IF(D35&gt;=8,"C","D")))</x:f>
        <x:v>D</x:v>
      </x:c>
      <x:c r="K35" s="86" t="str">
        <x:v>Hold / collect evidence</x:v>
      </x:c>
      <x:c r="L35" s="90" t="str">
        <x:v>Original neighborhood keyword priority</x:v>
      </x:c>
      <x:c r="M35" s="90" t="str">
        <x:v>CRM count, attributable project, photos, and review</x:v>
      </x:c>
      <x:c r="N35" s="90" t="str">
        <x:v>Treat as a Kansas City neighborhood</x:v>
      </x:c>
    </x:row>
  </x:sheetData>
  <x:mergeCells>
    <x:mergeCell ref="A1:N1"/>
    <x:mergeCell ref="A2:N2"/>
  </x:mergeCells>
  <x:conditionalFormatting sqref="F5:F35">
    <x:cfRule type="containsText" dxfId="0" priority="1" operator="containsText" text="Tier 1"/>
    <x:cfRule type="containsText" dxfId="1" priority="2" operator="containsText" text="Tier 2"/>
    <x:cfRule type="containsText" dxfId="2" priority="3" operator="containsText" text="Tier 3"/>
    <x:cfRule type="containsText" dxfId="3" priority="4" operator="containsText" text="Strategic gap"/>
  </x:conditionalFormatting>
  <x:dataValidations count="1">
    <x:dataValidation type="list" sqref="K5:K35">
      <x:formula1>"Index after enrichment,Index after local proof,Hold / consolidate,Create after proof confirmation,Hold / collect evidence"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71c2944c2541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8" hidden="0" customWidth="1"/>
    <x:col min="3" max="3" width="21" hidden="0" customWidth="1"/>
    <x:col min="4" max="4" width="21" hidden="0" customWidth="1"/>
    <x:col min="5" max="5" width="34" hidden="0" customWidth="1"/>
    <x:col min="6" max="6" width="40" hidden="0" customWidth="1"/>
    <x:col min="7" max="7" width="40" hidden="0" customWidth="1"/>
    <x:col min="8" max="8" width="40" hidden="0" customWidth="1"/>
  </x:cols>
  <x:sheetData>
    <x:row r="1" ht="34" customHeight="1">
      <x:c r="A1" s="3" t="str">
        <x:v>Evidence Inventory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What can be used now, what is only provisional, and what must be verified before local publication</x:v>
      </x:c>
      <x:c r="B2" s="7"/>
      <x:c r="C2" s="7"/>
      <x:c r="D2" s="7"/>
      <x:c r="E2" s="7"/>
      <x:c r="F2" s="7"/>
      <x:c r="G2" s="7"/>
      <x:c r="H2" s="7"/>
    </x:row>
    <x:row r="4">
      <x:c r="A4" s="92" t="str">
        <x:v>Evidence type</x:v>
      </x:c>
      <x:c r="B4" s="92" t="str">
        <x:v>Item</x:v>
      </x:c>
      <x:c r="C4" s="92" t="str">
        <x:v>Location / scope</x:v>
      </x:c>
      <x:c r="D4" s="92" t="str">
        <x:v>Status</x:v>
      </x:c>
      <x:c r="E4" s="92" t="str">
        <x:v>Source</x:v>
      </x:c>
      <x:c r="F4" s="92" t="str">
        <x:v>Verified information</x:v>
      </x:c>
      <x:c r="G4" s="92" t="str">
        <x:v>Missing confirmation</x:v>
      </x:c>
      <x:c r="H4" s="92" t="str">
        <x:v>Recommended use</x:v>
      </x:c>
    </x:row>
    <x:row r="5" ht="60" customHeight="1">
      <x:c r="A5" s="90" t="str">
        <x:v>Aggregate project counts</x:v>
      </x:c>
      <x:c r="B5" s="90" t="str">
        <x:v>Closed deals by city report</x:v>
      </x:c>
      <x:c r="C5" s="90" t="str">
        <x:v>27 city/state records</x:v>
      </x:c>
      <x:c r="D5" s="90" t="str">
        <x:v>Verified input</x:v>
      </x:c>
      <x:c r="E5" s="90" t="str">
        <x:v>User-supplied screenshot, 2026-08-04</x:v>
      </x:c>
      <x:c r="F5" s="90" t="str">
        <x:v>315 located deals; exact city/state counts</x:v>
      </x:c>
      <x:c r="G5" s="90" t="str">
        <x:v>Confirm closed deal equals completed project and define update cadence</x:v>
      </x:c>
      <x:c r="H5" s="90" t="str">
        <x:v>Hero proof and prioritization after confirmation</x:v>
      </x:c>
    </x:row>
    <x:row r="6" ht="60" customHeight="1">
      <x:c r="A6" s="90" t="str">
        <x:v>Case study</x:v>
      </x:c>
      <x:c r="B6" s="90" t="str">
        <x:v>Floor Installation and Refinishing</x:v>
      </x:c>
      <x:c r="C6" s="90" t="str">
        <x:v>Overland Park, KS</x:v>
      </x:c>
      <x:c r="D6" s="90" t="str">
        <x:v>Structured record</x:v>
      </x:c>
      <x:c r="E6" s="90" t="str">
        <x:v>src/data/site.ts</x:v>
      </x:c>
      <x:c r="F6" s="90" t="str">
        <x:v>Title, date, category, summary, scope, related services</x:v>
      </x:c>
      <x:c r="G6" s="90" t="str">
        <x:v>Wood species, finish, outcome, customer quote, multi-image gallery, image provenance</x:v>
      </x:c>
      <x:c r="H6" s="90" t="str">
        <x:v>Tier 1 local project spotlight</x:v>
      </x:c>
    </x:row>
    <x:row r="7" ht="60" customHeight="1">
      <x:c r="A7" s="90" t="str">
        <x:v>Case study</x:v>
      </x:c>
      <x:c r="B7" s="90" t="str">
        <x:v>Stage and Steps Installation</x:v>
      </x:c>
      <x:c r="C7" s="90" t="str">
        <x:v>Lenexa, KS</x:v>
      </x:c>
      <x:c r="D7" s="90" t="str">
        <x:v>Structured record</x:v>
      </x:c>
      <x:c r="E7" s="90" t="str">
        <x:v>src/data/site.ts</x:v>
      </x:c>
      <x:c r="F7" s="90" t="str">
        <x:v>Title, date, category, summary, scope, related services</x:v>
      </x:c>
      <x:c r="G7" s="90" t="str">
        <x:v>Residential relevance, customer quote, exact venue, image provenance</x:v>
      </x:c>
      <x:c r="H7" s="90" t="str">
        <x:v>Tier 1 project proof with commercial-project labeling</x:v>
      </x:c>
    </x:row>
    <x:row r="8" ht="60" customHeight="1">
      <x:c r="A8" s="90" t="str">
        <x:v>Case study</x:v>
      </x:c>
      <x:c r="B8" s="90" t="str">
        <x:v>Floor Installation and Finish</x:v>
      </x:c>
      <x:c r="C8" s="90" t="str">
        <x:v>Lawrence, KS</x:v>
      </x:c>
      <x:c r="D8" s="90" t="str">
        <x:v>Structured record</x:v>
      </x:c>
      <x:c r="E8" s="90" t="str">
        <x:v>src/data/site.ts</x:v>
      </x:c>
      <x:c r="F8" s="90" t="str">
        <x:v>Title, date, category, summary, scope, related services</x:v>
      </x:c>
      <x:c r="G8" s="90" t="str">
        <x:v>Target-market confirmation, wood species, finish, outcome, review, image provenance</x:v>
      </x:c>
      <x:c r="H8" s="90" t="str">
        <x:v>Tier 2 local project spotlight</x:v>
      </x:c>
    </x:row>
    <x:row r="9" ht="60" customHeight="1">
      <x:c r="A9" s="90" t="str">
        <x:v>Case study</x:v>
      </x:c>
      <x:c r="B9" s="90" t="str">
        <x:v>Installation, Repair and Refinish</x:v>
      </x:c>
      <x:c r="C9" s="90" t="str">
        <x:v>Briarcliff, MO</x:v>
      </x:c>
      <x:c r="D9" s="90" t="str">
        <x:v>Structured record</x:v>
      </x:c>
      <x:c r="E9" s="90" t="str">
        <x:v>src/data/site.ts</x:v>
      </x:c>
      <x:c r="F9" s="90" t="str">
        <x:v>Title, date, category, summary, scope, related services</x:v>
      </x:c>
      <x:c r="G9" s="90" t="str">
        <x:v>Project count, neighborhood positioning, result, review, image provenance</x:v>
      </x:c>
      <x:c r="H9" s="90" t="str">
        <x:v>Potential neighborhood page after confirmation</x:v>
      </x:c>
    </x:row>
    <x:row r="10" ht="60" customHeight="1">
      <x:c r="A10" s="90" t="str">
        <x:v>Review library</x:v>
      </x:c>
      <x:c r="B10" s="90" t="str">
        <x:v>10 named testimonials</x:v>
      </x:c>
      <x:c r="C10" s="90" t="str">
        <x:v>City unknown</x:v>
      </x:c>
      <x:c r="D10" s="90" t="str">
        <x:v>Usable thematically</x:v>
      </x:c>
      <x:c r="E10" s="90" t="str">
        <x:v>CONTENT_MAP.md</x:v>
      </x:c>
      <x:c r="F10" s="90" t="str">
        <x:v>Reviewer names, quotes, service themes</x:v>
      </x:c>
      <x:c r="G10" s="90" t="str">
        <x:v>Reviewer city, project link, source URL, permission status</x:v>
      </x:c>
      <x:c r="H10" s="90" t="str">
        <x:v>Use on service pages until city attribution is verified</x:v>
      </x:c>
    </x:row>
    <x:row r="11" ht="60" customHeight="1">
      <x:c r="A11" s="90" t="str">
        <x:v>Current review data</x:v>
      </x:c>
      <x:c r="B11" s="90" t="str">
        <x:v>Adam, Eric, and Jordan</x:v>
      </x:c>
      <x:c r="C11" s="90" t="str">
        <x:v>City unknown</x:v>
      </x:c>
      <x:c r="D11" s="90" t="str">
        <x:v>Published, not local</x:v>
      </x:c>
      <x:c r="E11" s="90" t="str">
        <x:v>src/data/site.ts</x:v>
      </x:c>
      <x:c r="F11" s="90" t="str">
        <x:v>Shortened quote and project theme</x:v>
      </x:c>
      <x:c r="G11" s="90" t="str">
        <x:v>Reviewer city and source URL</x:v>
      </x:c>
      <x:c r="H11" s="90" t="str">
        <x:v>Do not label as city-specific yet</x:v>
      </x:c>
    </x:row>
    <x:row r="12" ht="60" customHeight="1">
      <x:c r="A12" s="90" t="str">
        <x:v>Photo family</x:v>
      </x:c>
      <x:c r="B12" s="90" t="str">
        <x:v>Guillen home</x:v>
      </x:c>
      <x:c r="C12" s="90" t="str">
        <x:v>City unknown</x:v>
      </x:c>
      <x:c r="D12" s="90" t="str">
        <x:v>Unmapped</x:v>
      </x:c>
      <x:c r="E12" s="90" t="str">
        <x:v>public/images/project-flooring/guillen-home-*</x:v>
      </x:c>
      <x:c r="F12" s="90" t="str">
        <x:v>4 usable interior images</x:v>
      </x:c>
      <x:c r="G12" s="90" t="str">
        <x:v>City, service, date, photographer/usage permission</x:v>
      </x:c>
      <x:c r="H12" s="90" t="str">
        <x:v>Hold from local proof until mapped</x:v>
      </x:c>
    </x:row>
    <x:row r="13" ht="60" customHeight="1">
      <x:c r="A13" s="90" t="str">
        <x:v>Photo family</x:v>
      </x:c>
      <x:c r="B13" s="90" t="str">
        <x:v>Robinson home</x:v>
      </x:c>
      <x:c r="C13" s="90" t="str">
        <x:v>City unknown</x:v>
      </x:c>
      <x:c r="D13" s="90" t="str">
        <x:v>Unmapped</x:v>
      </x:c>
      <x:c r="E13" s="90" t="str">
        <x:v>public/images/project-flooring/robinson-home-*</x:v>
      </x:c>
      <x:c r="F13" s="90" t="str">
        <x:v>6 usable interior images</x:v>
      </x:c>
      <x:c r="G13" s="90" t="str">
        <x:v>City, service, date, photographer/usage permission</x:v>
      </x:c>
      <x:c r="H13" s="90" t="str">
        <x:v>Hold from local proof until mapped</x:v>
      </x:c>
    </x:row>
    <x:row r="14" ht="60" customHeight="1">
      <x:c r="A14" s="90" t="str">
        <x:v>Photo family</x:v>
      </x:c>
      <x:c r="B14" s="90" t="str">
        <x:v>Apartment project</x:v>
      </x:c>
      <x:c r="C14" s="90" t="str">
        <x:v>City unknown</x:v>
      </x:c>
      <x:c r="D14" s="90" t="str">
        <x:v>Unmapped</x:v>
      </x:c>
      <x:c r="E14" s="90" t="str">
        <x:v>public/images/project-flooring/apartment-*</x:v>
      </x:c>
      <x:c r="F14" s="90" t="str">
        <x:v>5 usable interior images</x:v>
      </x:c>
      <x:c r="G14" s="90" t="str">
        <x:v>City, service, date, commercial/residential context, usage permission</x:v>
      </x:c>
      <x:c r="H14" s="90" t="str">
        <x:v>Hold from local proof until mapped</x:v>
      </x:c>
    </x:row>
    <x:row r="15" ht="60" customHeight="1">
      <x:c r="A15" s="90" t="str">
        <x:v>Generic project images</x:v>
      </x:c>
      <x:c r="B15" s="90" t="str">
        <x:v>Living room, kitchen, stairs</x:v>
      </x:c>
      <x:c r="C15" s="90" t="str">
        <x:v>Mapped only through code</x:v>
      </x:c>
      <x:c r="D15" s="90" t="str">
        <x:v>Provisional</x:v>
      </x:c>
      <x:c r="E15" s="90" t="str">
        <x:v>public/images/projects/* + src/data/site.ts</x:v>
      </x:c>
      <x:c r="F15" s="90" t="str">
        <x:v>3 images assigned to case-study records</x:v>
      </x:c>
      <x:c r="G15" s="90" t="str">
        <x:v>Confirm each file depicts the named project</x:v>
      </x:c>
      <x:c r="H15" s="90" t="str">
        <x:v>Use only after provenance check</x:v>
      </x:c>
    </x:row>
    <x:row r="16" ht="60" customHeight="1">
      <x:c r="A16" s="90" t="str">
        <x:v>Local page copy</x:v>
      </x:c>
      <x:c r="B16" s="90" t="str">
        <x:v>One localContext sentence per city</x:v>
      </x:c>
      <x:c r="C16" s="90" t="str">
        <x:v>27 current pages</x:v>
      </x:c>
      <x:c r="D16" s="90" t="str">
        <x:v>Draft</x:v>
      </x:c>
      <x:c r="E16" s="90" t="str">
        <x:v>src/data/serviceAreaPages.ts</x:v>
      </x:c>
      <x:c r="F16" s="90" t="str">
        <x:v>Unique city sentence and project count</x:v>
      </x:c>
      <x:c r="G16" s="90" t="str">
        <x:v>First-hand project detail and editorial review</x:v>
      </x:c>
      <x:c r="H16" s="90" t="str">
        <x:v>Starting point, not sufficient local evidence alone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939c694843c4b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16" hidden="0" customWidth="1"/>
  </x:cols>
  <x:sheetData>
    <x:row r="1" ht="34" customHeight="1">
      <x:c r="A1" s="3" t="str">
        <x:v>Evidence Collection Requests</x:v>
      </x:c>
      <x:c r="B1" s="3"/>
      <x:c r="C1" s="3"/>
      <x:c r="D1" s="3"/>
      <x:c r="E1" s="3"/>
      <x:c r="F1" s="3"/>
      <x:c r="G1" s="3"/>
    </x:row>
    <x:row r="2" ht="32" customHeight="1">
      <x:c r="A2" s="7" t="str">
        <x:v>Ordered inputs required to turn the location cluster into people-first local content</x:v>
      </x:c>
      <x:c r="B2" s="7"/>
      <x:c r="C2" s="7"/>
      <x:c r="D2" s="7"/>
      <x:c r="E2" s="7"/>
      <x:c r="F2" s="7"/>
      <x:c r="G2" s="7"/>
    </x:row>
    <x:row r="4">
      <x:c r="A4" s="92" t="str">
        <x:v>Priority</x:v>
      </x:c>
      <x:c r="B4" s="92" t="str">
        <x:v>Request</x:v>
      </x:c>
      <x:c r="C4" s="92" t="str">
        <x:v>Why needed</x:v>
      </x:c>
      <x:c r="D4" s="92" t="str">
        <x:v>Required fields / confirmation</x:v>
      </x:c>
      <x:c r="E4" s="92" t="str">
        <x:v>Suggested owner</x:v>
      </x:c>
      <x:c r="F4" s="92" t="str">
        <x:v>Blocks</x:v>
      </x:c>
      <x:c r="G4" s="92" t="str">
        <x:v>Status</x:v>
      </x:c>
    </x:row>
    <x:row r="5" ht="58" customHeight="1">
      <x:c r="A5" s="90" t="str">
        <x:v>Critical</x:v>
      </x:c>
      <x:c r="B5" s="90" t="str">
        <x:v>CRM project-level export</x:v>
      </x:c>
      <x:c r="C5" s="90" t="str">
        <x:v>Aggregate counts cannot identify representative local work</x:v>
      </x:c>
      <x:c r="D5" s="90" t="str">
        <x:v>City, state, completion date, service type, status, project ID, square footage</x:v>
      </x:c>
      <x:c r="E5" s="90" t="str">
        <x:v>Operations / CRM owner</x:v>
      </x:c>
      <x:c r="F5" s="90" t="str">
        <x:v>All city-specific case studies</x:v>
      </x:c>
      <x:c r="G5" s="90" t="str">
        <x:v>Open</x:v>
      </x:c>
    </x:row>
    <x:row r="6" ht="58" customHeight="1">
      <x:c r="A6" s="90" t="str">
        <x:v>Critical</x:v>
      </x:c>
      <x:c r="B6" s="90" t="str">
        <x:v>Photo-to-project crosswalk</x:v>
      </x:c>
      <x:c r="C6" s="90" t="str">
        <x:v>Current images cannot be safely presented as local proof</x:v>
      </x:c>
      <x:c r="D6" s="90" t="str">
        <x:v>Filename, project ID, city, service, room, before/after, permission</x:v>
      </x:c>
      <x:c r="E6" s="90" t="str">
        <x:v>Project manager / marketing</x:v>
      </x:c>
      <x:c r="F6" s="90" t="str">
        <x:v>Local galleries and accurate alt text</x:v>
      </x:c>
      <x:c r="G6" s="90" t="str">
        <x:v>Open</x:v>
      </x:c>
    </x:row>
    <x:row r="7" ht="58" customHeight="1">
      <x:c r="A7" s="90" t="str">
        <x:v>Critical</x:v>
      </x:c>
      <x:c r="B7" s="90" t="str">
        <x:v>Review location verification</x:v>
      </x:c>
      <x:c r="C7" s="90" t="str">
        <x:v>No stored testimonial has a verified city</x:v>
      </x:c>
      <x:c r="D7" s="90" t="str">
        <x:v>Reviewer, city, service, source URL, permission, linked project ID</x:v>
      </x:c>
      <x:c r="E7" s="90" t="str">
        <x:v>Marketing / reputation owner</x:v>
      </x:c>
      <x:c r="F7" s="90" t="str">
        <x:v>City-specific testimonials</x:v>
      </x:c>
      <x:c r="G7" s="90" t="str">
        <x:v>Open</x:v>
      </x:c>
    </x:row>
    <x:row r="8" ht="58" customHeight="1">
      <x:c r="A8" s="90" t="str">
        <x:v>Critical</x:v>
      </x:c>
      <x:c r="B8" s="90" t="str">
        <x:v>Closed-deal definition confirmation</x:v>
      </x:c>
      <x:c r="C8" s="90" t="str">
        <x:v>The report says closed deals while page copy says completed projects</x:v>
      </x:c>
      <x:c r="D8" s="90" t="str">
        <x:v>Confirm status definition, exclusions, and whether every closed deal was completed</x:v>
      </x:c>
      <x:c r="E8" s="90" t="str">
        <x:v>Operations</x:v>
      </x:c>
      <x:c r="F8" s="90" t="str">
        <x:v>All project-count claims</x:v>
      </x:c>
      <x:c r="G8" s="90" t="str">
        <x:v>Open</x:v>
      </x:c>
    </x:row>
    <x:row r="9" ht="58" customHeight="1">
      <x:c r="A9" s="90" t="str">
        <x:v>High</x:v>
      </x:c>
      <x:c r="B9" s="90" t="str">
        <x:v>Representative project details</x:v>
      </x:c>
      <x:c r="C9" s="90" t="str">
        <x:v>Existing case studies lack full experience evidence</x:v>
      </x:c>
      <x:c r="D9" s="90" t="str">
        <x:v>Problem, solution, wood species, stain/finish, result, timeline, customer outcome</x:v>
      </x:c>
      <x:c r="E9" s="90" t="str">
        <x:v>Estimator / crew lead</x:v>
      </x:c>
      <x:c r="F9" s="90" t="str">
        <x:v>Tier 1 content depth</x:v>
      </x:c>
      <x:c r="G9" s="90" t="str">
        <x:v>Open</x:v>
      </x:c>
    </x:row>
    <x:row r="10" ht="58" customHeight="1">
      <x:c r="A10" s="90" t="str">
        <x:v>High</x:v>
      </x:c>
      <x:c r="B10" s="90" t="str">
        <x:v>Lawrence targeting decision</x:v>
      </x:c>
      <x:c r="C10" s="90" t="str">
        <x:v>The build plan says Lawrence only if still desired</x:v>
      </x:c>
      <x:c r="D10" s="90" t="str">
        <x:v>Service radius, job acceptance policy, strategic priority</x:v>
      </x:c>
      <x:c r="E10" s="90" t="str">
        <x:v>Owner / sales</x:v>
      </x:c>
      <x:c r="F10" s="90" t="str">
        <x:v>Lawrence indexation</x:v>
      </x:c>
      <x:c r="G10" s="90" t="str">
        <x:v>Open</x:v>
      </x:c>
    </x:row>
    <x:row r="11" ht="58" customHeight="1">
      <x:c r="A11" s="90" t="str">
        <x:v>High</x:v>
      </x:c>
      <x:c r="B11" s="90" t="str">
        <x:v>Neighborhood counts</x:v>
      </x:c>
      <x:c r="C11" s="90" t="str">
        <x:v>Mission Hills, Brookside, Waldo, and Briarcliff are missing from the city report</x:v>
      </x:c>
      <x:c r="D11" s="90" t="str">
        <x:v>Project counts by neighborhood or address-to-neighborhood mapping</x:v>
      </x:c>
      <x:c r="E11" s="90" t="str">
        <x:v>CRM owner</x:v>
      </x:c>
      <x:c r="F11" s="90" t="str">
        <x:v>Strategic neighborhood pages</x:v>
      </x:c>
      <x:c r="G11" s="90" t="str">
        <x:v>Open</x:v>
      </x:c>
    </x:row>
    <x:row r="12" ht="58" customHeight="1">
      <x:c r="A12" s="90" t="str">
        <x:v>High</x:v>
      </x:c>
      <x:c r="B12" s="90" t="str">
        <x:v>Briarcliff positioning confirmation</x:v>
      </x:c>
      <x:c r="C12" s="90" t="str">
        <x:v>Briarcliff is a neighborhood rather than a separate city</x:v>
      </x:c>
      <x:c r="D12" s="90" t="str">
        <x:v>Preferred label, related Kansas City page, project count</x:v>
      </x:c>
      <x:c r="E12" s="90" t="str">
        <x:v>Owner / marketing</x:v>
      </x:c>
      <x:c r="F12" s="90" t="str">
        <x:v>Briarcliff page architecture</x:v>
      </x:c>
      <x:c r="G12" s="90" t="str">
        <x:v>Open</x:v>
      </x:c>
    </x:row>
    <x:row r="13" ht="58" customHeight="1">
      <x:c r="A13" s="90" t="str">
        <x:v>Medium</x:v>
      </x:c>
      <x:c r="B13" s="90" t="str">
        <x:v>Crew local-insight interviews</x:v>
      </x:c>
      <x:c r="C13" s="90" t="str">
        <x:v>Useful local content should come from actual work, not generic city facts</x:v>
      </x:c>
      <x:c r="D13" s="90" t="str">
        <x:v>Common floor age/species, repair patterns, project constraints, finish preferences</x:v>
      </x:c>
      <x:c r="E13" s="90" t="str">
        <x:v>Crew leads</x:v>
      </x:c>
      <x:c r="F13" s="90" t="str">
        <x:v>Unique city service copy and FAQs</x:v>
      </x:c>
      <x:c r="G13" s="90" t="str">
        <x:v>Open</x:v>
      </x:c>
    </x:row>
    <x:row r="14" ht="58" customHeight="1">
      <x:c r="A14" s="90" t="str">
        <x:v>Medium</x:v>
      </x:c>
      <x:c r="B14" s="90" t="str">
        <x:v>Project-count refresh process</x:v>
      </x:c>
      <x:c r="C14" s="90" t="str">
        <x:v>The count should remain current and auditable</x:v>
      </x:c>
      <x:c r="D14" s="90" t="str">
        <x:v>Owner, source report, refresh frequency, last-updated date</x:v>
      </x:c>
      <x:c r="E14" s="90" t="str">
        <x:v>Operations / marketing</x:v>
      </x:c>
      <x:c r="F14" s="90" t="str">
        <x:v>Ongoing trust-signal maintenance</x:v>
      </x:c>
      <x:c r="G14" s="90" t="str">
        <x:v>Open</x:v>
      </x:c>
    </x:row>
  </x:sheetData>
  <x:mergeCells>
    <x:mergeCell ref="A1:G1"/>
    <x:mergeCell ref="A2:G2"/>
  </x:mergeCells>
  <x:conditionalFormatting sqref="A5:A14">
    <x:cfRule type="containsText" dxfId="4" priority="1" operator="containsText" text="Critical"/>
    <x:cfRule type="containsText" dxfId="5" priority="2" operator="containsText" text="High"/>
    <x:cfRule type="containsText" dxfId="6" priority="3" operator="containsText" text="Medium"/>
  </x:conditionalFormatting>
  <x:dataValidations count="1">
    <x:dataValidation type="list" sqref="G5:G14">
      <x:formula1>"Open,In progress,Received,Verified,Not available"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f695fb689048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4" hidden="0" customWidth="1"/>
    <x:col min="3" max="3" width="20" hidden="0" customWidth="1"/>
    <x:col min="4" max="4" width="56" hidden="0" customWidth="1"/>
  </x:cols>
  <x:sheetData>
    <x:row r="1" ht="34" customHeight="1">
      <x:c r="A1" s="3" t="str">
        <x:v>Source Notes</x:v>
      </x:c>
      <x:c r="B1" s="3"/>
      <x:c r="C1" s="3"/>
      <x:c r="D1" s="3"/>
    </x:row>
    <x:row r="2" ht="32" customHeight="1">
      <x:c r="A2" s="7" t="str">
        <x:v>Auditable sources used for the Phase 1 strategy and workbook</x:v>
      </x:c>
      <x:c r="B2" s="7"/>
      <x:c r="C2" s="7"/>
      <x:c r="D2" s="7"/>
    </x:row>
    <x:row r="4">
      <x:c r="A4" s="91" t="str">
        <x:v>Source</x:v>
      </x:c>
      <x:c r="B4" s="91" t="str">
        <x:v>Path or URL</x:v>
      </x:c>
      <x:c r="C4" s="91" t="str">
        <x:v>Date / version</x:v>
      </x:c>
      <x:c r="D4" s="91" t="str">
        <x:v>Use in this audit</x:v>
      </x:c>
    </x:row>
    <x:row r="5" ht="44" customHeight="1">
      <x:c r="A5" s="90" t="str">
        <x:v>Closed deals by city screenshot</x:v>
      </x:c>
      <x:c r="B5" s="94" t="str">
        <x:v>/Users/kylecoffelt/Desktop/Screenshot 2026-08-04 at 5.23.43 PM.png</x:v>
      </x:c>
      <x:c r="C5" s="90" t="str">
        <x:v>2026-08-04</x:v>
      </x:c>
      <x:c r="D5" s="90" t="str">
        <x:v>Primary quantitative source supplied by Noble; 315 located deals and 3 without location</x:v>
      </x:c>
    </x:row>
    <x:row r="6" ht="44" customHeight="1">
      <x:c r="A6" s="90" t="str">
        <x:v>Current location dataset</x:v>
      </x:c>
      <x:c r="B6" s="94" t="str">
        <x:v>src/data/serviceAreaPages.ts</x:v>
      </x:c>
      <x:c r="C6" s="90" t="str">
        <x:v>2026-08-04</x:v>
      </x:c>
      <x:c r="D6" s="90" t="str">
        <x:v>27 current city/state pages, project counts, and draft localContext copy</x:v>
      </x:c>
    </x:row>
    <x:row r="7" ht="44" customHeight="1">
      <x:c r="A7" s="90" t="str">
        <x:v>Project and review data</x:v>
      </x:c>
      <x:c r="B7" s="94" t="str">
        <x:v>src/data/site.ts</x:v>
      </x:c>
      <x:c r="C7" s="90" t="str">
        <x:v>Current repository</x:v>
      </x:c>
      <x:c r="D7" s="90" t="str">
        <x:v>Four project records and three shortened reviews</x:v>
      </x:c>
    </x:row>
    <x:row r="8" ht="44" customHeight="1">
      <x:c r="A8" s="90" t="str">
        <x:v>Review content library</x:v>
      </x:c>
      <x:c r="B8" s="94" t="str">
        <x:v>CONTENT_MAP.md</x:v>
      </x:c>
      <x:c r="C8" s="90" t="str">
        <x:v>Current repository</x:v>
      </x:c>
      <x:c r="D8" s="90" t="str">
        <x:v>Ten named reviews with service themes but no city metadata</x:v>
      </x:c>
    </x:row>
    <x:row r="9" ht="44" customHeight="1">
      <x:c r="A9" s="90" t="str">
        <x:v>SEO keyword plan</x:v>
      </x:c>
      <x:c r="B9" s="94" t="str">
        <x:v>SEO_KEYWORDS.md</x:v>
      </x:c>
      <x:c r="C9" s="90" t="str">
        <x:v>Current repository</x:v>
      </x:c>
      <x:c r="D9" s="90" t="str">
        <x:v>Explicit city/service keyword priorities</x:v>
      </x:c>
    </x:row>
    <x:row r="10" ht="44" customHeight="1">
      <x:c r="A10" s="90" t="str">
        <x:v>Build strategy</x:v>
      </x:c>
      <x:c r="B10" s="94" t="str">
        <x:v>NOBLE_BUILD_PLAN.md</x:v>
      </x:c>
      <x:c r="C10" s="90" t="str">
        <x:v>Current repository</x:v>
      </x:c>
      <x:c r="D10" s="90" t="str">
        <x:v>Original priority areas and service-area requirements</x:v>
      </x:c>
    </x:row>
    <x:row r="11" ht="44" customHeight="1">
      <x:c r="A11" s="90" t="str">
        <x:v>Google people-first guidance</x:v>
      </x:c>
      <x:c r="B11" s="94" t="str">
        <x:v>https://developers.google.com/search/docs/fundamentals/creating-helpful-content</x:v>
      </x:c>
      <x:c r="C11" s="90" t="str">
        <x:v>Accessed 2026-08-04</x:v>
      </x:c>
      <x:c r="D11" s="90" t="str">
        <x:v>Supports first-hand, useful, non-mass-produced local content</x:v>
      </x:c>
    </x:row>
    <x:row r="12" ht="44" customHeight="1">
      <x:c r="A12" s="90" t="str">
        <x:v>Google spam policies</x:v>
      </x:c>
      <x:c r="B12" s="94" t="str">
        <x:v>https://developers.google.com/search/docs/essentials/spam-policies</x:v>
      </x:c>
      <x:c r="C12" s="90" t="str">
        <x:v>Accessed 2026-08-04</x:v>
      </x:c>
      <x:c r="D12" s="90" t="str">
        <x:v>Doorway-page risk for substantially similar regional pages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8b0a958b76a345cc"/>
  </x:tableParts>
</x:worksheet>
</file>